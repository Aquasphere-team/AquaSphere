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F3A471DF-94A1-4F7A-ADE8-E33CA4A7D327}" xr6:coauthVersionLast="47" xr6:coauthVersionMax="47" xr10:uidLastSave="{00000000-0000-0000-0000-000000000000}"/>
  <bookViews>
    <workbookView xWindow="-110" yWindow="-110" windowWidth="25820" windowHeight="15500" activeTab="5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G6" i="2"/>
  <c r="F2" i="2"/>
  <c r="F3" i="2"/>
  <c r="F4" i="2"/>
  <c r="F5" i="2"/>
  <c r="F6" i="2"/>
  <c r="E6" i="2" a="1"/>
  <c r="E6" i="2" s="1"/>
  <c r="D6" i="2" a="1"/>
  <c r="D6" i="2"/>
  <c r="C6" i="2" a="1"/>
  <c r="C6" i="2" s="1"/>
  <c r="E16" i="7"/>
  <c r="F16" i="7" s="1"/>
  <c r="B16" i="7"/>
  <c r="A16" i="7"/>
  <c r="C16" i="7" s="1"/>
  <c r="F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C16" i="6" l="1"/>
  <c r="C5" i="2" a="1"/>
  <c r="C5" i="2" s="1"/>
  <c r="F16" i="6"/>
  <c r="C13" i="2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<sst xmlns="http://schemas.openxmlformats.org/spreadsheetml/2006/main" count="324" uniqueCount="157">
  <si>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</si>
  <si>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</si>
  <si>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</si>
  <si>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</si>
  <si>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</si>
  <si>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</si>
  <si>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</si>
  <si>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</si>
  <si>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</si>
  <si>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</si>
  <si>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</si>
  <si>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</si>
  <si>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</si>
  <si>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</si>
  <si>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</si>
  <si>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</si>
  <si>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</si>
  <si>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</si>
  <si>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</si>
  <si>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</si>
  <si>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</si>
  <si>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</si>
  <si>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</si>
  <si>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</si>
  <si>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</si>
  <si>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</si>
  <si>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</si>
  <si>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</si>
  <si>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</si>
  <si>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</si>
  <si>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</si>
  <si>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</si>
  <si>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</si>
  <si>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</si>
  <si>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</si>
  <si>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</si>
  <si>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</si>
  <si>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</si>
  <si>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</si>
  <si>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</si>
  <si>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</si>
  <si>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</si>
  <si>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</si>
  <si>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</si>
  <si>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</si>
  <si>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</si>
  <si>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</si>
  <si>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</si>
  <si>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</si>
  <si>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</si>
  <si>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</si>
  <si>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</si>
  <si>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</si>
  <si>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</si>
  <si>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</si>
  <si>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</si>
  <si>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</si>
  <si>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</si>
  <si>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</si>
  <si>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</si>
  <si>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</si>
  <si>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</si>
  <si>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</si>
  <si>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</si>
  <si>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</si>
  <si>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</si>
  <si>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</si>
  <si>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</si>
  <si>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</si>
  <si>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</si>
  <si>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</si>
  <si>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</si>
  <si>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</si>
  <si>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</si>
  <si>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</si>
  <si>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</si>
  <si>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</si>
  <si>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</si>
  <si>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</si>
  <si>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</si>
  <si>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</si>
  <si>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</si>
  <si>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</si>
  <si>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</si>
  <si>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</si>
  <si>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</si>
  <si>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</si>
  <si>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</si>
  <si>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</si>
  <si>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</si>
  <si>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</si>
  <si>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</si>
  <si>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</si>
  <si>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</si>
  <si>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</si>
  <si>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</si>
  <si>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</si>
  <si>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</si>
  <si>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</si>
  <si>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</si>
  <si>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</si>
  <si>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</si>
  <si>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</si>
  <si>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</si>
  <si>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</si>
  <si>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</si>
  <si>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</si>
  <si>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</si>
  <si>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</si>
  <si>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</si>
  <si>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</si>
  <si>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</si>
  <si>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</si>
  <si>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</si>
  <si>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</si>
  <si>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</si>
  <si>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</si>
  <si>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</si>
  <si>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</si>
  <si>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</si>
  <si>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</si>
  <si>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</si>
  <si>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</si>
  <si>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</si>
  <si>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</si>
  <si>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</si>
  <si>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</si>
  <si>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</si>
  <si>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</si>
  <si>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</si>
  <si>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</si>
  <si>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</si>
  <si>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</si>
  <si>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</si>
  <si>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</si>
  <si>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</si>
  <si>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</si>
  <si>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</si>
  <si>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</si>
  <si>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</si>
  <si>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</si>
  <si>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</si>
  <si>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</si>
  <si>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</si>
  <si>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</si>
  <si>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</si>
  <si>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</si>
  <si>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</si>
  <si>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</si>
  <si>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</si>
  <si>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</si>
  <si>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</si>
  <si>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</si>
  <si>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</si>
  <si>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</si>
  <si>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</si>
  <si>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deviniert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</si>
</sst>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128"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7" dataDxfId="126">
  <autoFilter ref="A1:H8" xr:uid="{AAF41172-5838-4CA9-A8A2-78B1E57ACF1F}"/>
  <tableColumns count="8">
    <tableColumn id="1" xr3:uid="{8BB8E342-544E-430C-A72A-9EBF9676D447}" name="Sprint" dataDxfId="125"/>
    <tableColumn id="9" xr3:uid="{96A939A8-DA63-4E70-B123-D31A897D4192}" name="Story ID" dataDxfId="124"/>
    <tableColumn id="2" xr3:uid="{CB307D23-EE39-436B-9E06-9E7789362DB6}" name="Estimated Hours" dataDxfId="123">
      <calculatedColumnFormula array="1">Tabelle3[Estimated time]</calculatedColumnFormula>
    </tableColumn>
    <tableColumn id="3" xr3:uid="{5EFC7DEC-DFDE-454B-90FC-2713EB4181D8}" name="Actual Hours" dataDxfId="122">
      <calculatedColumnFormula array="1">Tabelle3[Actual time]</calculatedColumnFormula>
    </tableColumn>
    <tableColumn id="4" xr3:uid="{D6FF0659-1B35-4F09-B5A7-D22FEF5F7C3F}" name="Accomplished Story Points" dataDxfId="121">
      <calculatedColumnFormula array="1">Tabelle4[[Total Storypoints ]]</calculatedColumnFormula>
    </tableColumn>
    <tableColumn id="5" xr3:uid="{9CD2DBE3-2E45-4440-8D7A-2A03A0291AAD}" name="Velocity" dataDxfId="0">
      <calculatedColumnFormula>Tabelle1[[#This Row],[Accomplished Story Points]]/Tabelle1[[#This Row],[Actual Hours]]</calculatedColumnFormula>
    </tableColumn>
    <tableColumn id="6" xr3:uid="{1977DF7A-0A05-43B5-99D3-B72159480780}" name="Total Storypoints" dataDxfId="120"/>
    <tableColumn id="7" xr3:uid="{D8A5F5FE-B9BC-448A-A9E7-3D00888AE639}" name="Storypoints Left" dataDxfId="119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8" dataDxfId="117">
  <autoFilter ref="A1:J9" xr:uid="{739F99A6-83FF-4FC0-82EE-54F2B8B8AE5A}"/>
  <tableColumns count="10">
    <tableColumn id="1" xr3:uid="{0351E8C1-0BB8-4C19-A406-233CC12328E5}" name="Sprint Start" dataDxfId="116"/>
    <tableColumn id="2" xr3:uid="{51BD2FE0-507A-4398-BD96-E186E78BB2C7}" name="Sprint End" dataDxfId="115"/>
    <tableColumn id="3" xr3:uid="{A3B7E86B-E01A-4D78-82AD-BA81F6AC7ADF}" name="User" dataDxfId="114"/>
    <tableColumn id="5" xr3:uid="{CE780601-F45C-4063-B216-98ACE5588903}" name="ID" dataDxfId="113"/>
    <tableColumn id="6" xr3:uid="{A14D049D-AC5C-49A5-A7CC-A4D5ED8A8330}" name="Epic" dataDxfId="112"/>
    <tableColumn id="12" xr3:uid="{770F10A6-830A-41AC-B069-6267CAE00BDF}" name="User Story /Task" dataDxfId="111"/>
    <tableColumn id="11" xr3:uid="{0D9AB552-F7B4-4231-A35B-245B57383919}" name="Estimated time" dataDxfId="110"/>
    <tableColumn id="8" xr3:uid="{3E2E3644-9002-4AB9-B3EC-96FFF84D8900}" name="COS (Criteria of Satisfaction)" dataDxfId="109"/>
    <tableColumn id="9" xr3:uid="{14C8E3A9-BC37-48D9-A399-32A48A46993A}" name="Story points" dataDxfId="108"/>
    <tableColumn id="10" xr3:uid="{151786D9-5F15-42D7-932B-664A024F4131}" name="Time in Hours" dataDxfId="10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6" dataDxfId="105">
  <autoFilter ref="A15:C16" xr:uid="{F79F1E8C-9DFD-4482-95C6-9C23936D055B}"/>
  <tableColumns count="3">
    <tableColumn id="1" xr3:uid="{CD2D4D96-DD34-4EA3-92D7-B02BB9DE5647}" name="Estimated time" dataDxfId="104">
      <calculatedColumnFormula>SUM(Tabelle2[Estimated time])</calculatedColumnFormula>
    </tableColumn>
    <tableColumn id="2" xr3:uid="{0F14E190-6E0A-4AB8-8ADE-83875E98D4B5}" name="Actual time" dataDxfId="103">
      <calculatedColumnFormula>SUM(Tabelle2[Time in Hours])</calculatedColumnFormula>
    </tableColumn>
    <tableColumn id="3" xr3:uid="{5DE18543-F4D3-4732-9F2D-5B7F140CB974}" name="Delta" dataDxfId="102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1" dataDxfId="100">
  <autoFilter ref="E15:F16" xr:uid="{F5FF718A-3E4E-40DD-BD72-E3ACE1B58735}"/>
  <tableColumns count="2">
    <tableColumn id="1" xr3:uid="{2E187AEA-682F-4749-9FC8-ED3BA3DE1DA2}" name="Total Storypoints " dataDxfId="99">
      <calculatedColumnFormula>SUM(Tabelle2[Story points])</calculatedColumnFormula>
    </tableColumn>
    <tableColumn id="2" xr3:uid="{3C6DC8F5-724A-43AC-9128-7661A96380C1}" name="Efford/Hour" dataDxfId="98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7" dataDxfId="96">
  <autoFilter ref="A1:K12" xr:uid="{739F99A6-83FF-4FC0-82EE-54F2B8B8AE5A}"/>
  <tableColumns count="11">
    <tableColumn id="1" xr3:uid="{9C36A560-9153-4D8E-BA50-0044E74E1896}" name="Sprint Start" dataDxfId="95"/>
    <tableColumn id="2" xr3:uid="{4FAB3106-8621-41F1-B866-EA5558F083D8}" name="Sprint End" dataDxfId="94"/>
    <tableColumn id="3" xr3:uid="{2D2022CC-B165-4671-9773-4C7DCE737FC7}" name="User" dataDxfId="93"/>
    <tableColumn id="5" xr3:uid="{6D49D607-DA69-4FF5-AC26-260E9F796217}" name="ID" dataDxfId="92"/>
    <tableColumn id="6" xr3:uid="{95077F2F-115F-484E-A38C-A34A2BCBCB78}" name="Epic" dataDxfId="91"/>
    <tableColumn id="12" xr3:uid="{2EAFDE91-2C58-4973-A684-28E2E964F629}" name="User Story /Task" dataDxfId="90"/>
    <tableColumn id="11" xr3:uid="{D17AAC02-918A-4F08-B037-3622F37B62F0}" name="Estimated time" dataDxfId="89"/>
    <tableColumn id="8" xr3:uid="{4D053EE2-698A-4191-ABEB-8F0701DA4D4E}" name="COS (Criteria of Satisfaction)" dataDxfId="88"/>
    <tableColumn id="9" xr3:uid="{73BF0134-792D-4614-95FB-754C4A317665}" name="Story points" dataDxfId="87"/>
    <tableColumn id="10" xr3:uid="{2620A9CC-A288-4874-BF27-2BBE69671B14}" name="Time in Hours" dataDxfId="86"/>
    <tableColumn id="4" xr3:uid="{EEDB864F-4BEC-E84C-8BC3-11680213E110}" name="Status" dataDxfId="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4" dataDxfId="83">
  <autoFilter ref="A16:C17" xr:uid="{F79F1E8C-9DFD-4482-95C6-9C23936D055B}"/>
  <tableColumns count="3">
    <tableColumn id="1" xr3:uid="{608DD481-0706-4498-AF85-EB4AD6D17A03}" name="Estimated time" dataDxfId="82">
      <calculatedColumnFormula>SUM(Tabelle27[Estimated time])</calculatedColumnFormula>
    </tableColumn>
    <tableColumn id="2" xr3:uid="{727CC20C-885F-49B6-A31D-85E6D39BFD35}" name="Actual time" dataDxfId="81">
      <calculatedColumnFormula>SUM(Tabelle27[Time in Hours])</calculatedColumnFormula>
    </tableColumn>
    <tableColumn id="3" xr3:uid="{DB626F11-D2AA-4B08-BE29-BA7526E2BE88}" name="Delta" dataDxfId="80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9" dataDxfId="78">
  <autoFilter ref="E16:F17" xr:uid="{F5FF718A-3E4E-40DD-BD72-E3ACE1B58735}"/>
  <tableColumns count="2">
    <tableColumn id="1" xr3:uid="{1F43F730-E2EB-4487-8A5C-6B0E3F4CC598}" name="Total Storypoints " dataDxfId="77">
      <calculatedColumnFormula>SUM(Tabelle27[Story points])</calculatedColumnFormula>
    </tableColumn>
    <tableColumn id="2" xr3:uid="{95E1605C-A4E2-4173-B0AE-218EC74BDEA1}" name="Effort/Hour" dataDxfId="76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5" dataDxfId="74">
  <autoFilter ref="A1:K12" xr:uid="{739F99A6-83FF-4FC0-82EE-54F2B8B8AE5A}"/>
  <tableColumns count="11">
    <tableColumn id="1" xr3:uid="{949CA967-02A0-4249-BB07-B02F4C4F69AE}" name="Sprint Start" dataDxfId="73"/>
    <tableColumn id="2" xr3:uid="{A70AE104-D3DD-4C6E-8E50-E151404B19BD}" name="Sprint End" dataDxfId="72"/>
    <tableColumn id="3" xr3:uid="{9168C6BE-6970-4420-9D5F-DBCF1E8E2BAE}" name="User" dataDxfId="71"/>
    <tableColumn id="5" xr3:uid="{A7C4968E-9480-42FF-949B-9E41609C26A2}" name="ID" dataDxfId="70"/>
    <tableColumn id="6" xr3:uid="{8564B7DD-8DB4-4E2B-BDDB-9791D9AAA0EA}" name="Epic" dataDxfId="69"/>
    <tableColumn id="12" xr3:uid="{56FA47CB-3810-4B7F-A047-8358D5C73F6C}" name="User Story /Task" dataDxfId="68"/>
    <tableColumn id="11" xr3:uid="{988CB3AF-F268-445B-887C-5163D9AE41DF}" name="Estimated time" dataDxfId="67"/>
    <tableColumn id="8" xr3:uid="{14BDCFB4-F75D-4798-AFF3-3F8B177B78D6}" name="COS (Criteria of Satisfaction)" dataDxfId="66"/>
    <tableColumn id="9" xr3:uid="{97C18CBF-2D3F-4A8A-B36D-6328E17F31C4}" name="Story points" dataDxfId="65"/>
    <tableColumn id="10" xr3:uid="{D3E339CF-38BF-4AC1-8C80-41ECD30B6907}" name="Time in Hours" dataDxfId="64"/>
    <tableColumn id="4" xr3:uid="{3BCBC0DA-7C9B-4D2B-9269-A319CBD925C5}" name="Status" dataDxfId="6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2" dataDxfId="61">
  <autoFilter ref="A16:C17" xr:uid="{F79F1E8C-9DFD-4482-95C6-9C23936D055B}"/>
  <tableColumns count="3">
    <tableColumn id="1" xr3:uid="{F045D4AD-2D00-44A7-8EA7-B5C34869B26F}" name="Estimated time" dataDxfId="60">
      <calculatedColumnFormula>SUM(Tabelle2710[Estimated time])</calculatedColumnFormula>
    </tableColumn>
    <tableColumn id="2" xr3:uid="{DFDFE0A8-6207-4F3B-9D05-4D3AF083E31B}" name="Actual time" dataDxfId="59">
      <calculatedColumnFormula>SUM(Tabelle2710[Time in Hours])</calculatedColumnFormula>
    </tableColumn>
    <tableColumn id="3" xr3:uid="{2529739A-9C5E-4AE4-80A6-DFC080EFE2D8}" name="Delta" dataDxfId="58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7" dataDxfId="56">
  <autoFilter ref="E16:F17" xr:uid="{F5FF718A-3E4E-40DD-BD72-E3ACE1B58735}"/>
  <tableColumns count="2">
    <tableColumn id="1" xr3:uid="{C3438C75-AD69-46E0-B1BD-0445ED469483}" name="Total Storypoints " dataDxfId="55">
      <calculatedColumnFormula>SUM(Tabelle2710[Story points])</calculatedColumnFormula>
    </tableColumn>
    <tableColumn id="2" xr3:uid="{0655740B-E1AB-4BD3-B7CA-852D4C79FC17}" name="Effort/Hour" dataDxfId="54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3" dataDxfId="52">
  <autoFilter ref="A1:K11" xr:uid="{D3B682F1-6F73-4656-A177-C3533051D55F}"/>
  <tableColumns count="11">
    <tableColumn id="1" xr3:uid="{946A4B14-799A-49AD-8E3E-31E3F4BBE559}" name="Sprint Start" dataDxfId="51"/>
    <tableColumn id="2" xr3:uid="{E61A962F-4EE4-4843-AF21-C647918EECAB}" name="Sprint End" dataDxfId="50"/>
    <tableColumn id="3" xr3:uid="{4EC50B40-18BD-4D00-8BE2-5596A9347BB8}" name="User" dataDxfId="49"/>
    <tableColumn id="5" xr3:uid="{2A1F175E-D14E-491C-B452-39567CF84CD6}" name="ID" dataDxfId="48"/>
    <tableColumn id="6" xr3:uid="{DCE5121F-D243-470B-B0AF-D0EE5264DD5A}" name="Epic" dataDxfId="47"/>
    <tableColumn id="12" xr3:uid="{45FDCCAE-F13D-47C1-B91E-2EF3CC9A5BA0}" name="User Story /Task" dataDxfId="46"/>
    <tableColumn id="11" xr3:uid="{4057DF12-8977-4284-BF2B-9ED3AAE7221F}" name="Estimated time" dataDxfId="45"/>
    <tableColumn id="8" xr3:uid="{08443A2E-5832-4299-8009-1F0D489DEE15}" name="COS (Criteria of Satisfaction)" dataDxfId="44"/>
    <tableColumn id="9" xr3:uid="{8777A429-C11B-4CDC-BB2F-785D0BC89DAB}" name="Story points" dataDxfId="43"/>
    <tableColumn id="10" xr3:uid="{0B18443F-D8D9-4015-8EAA-7050016E43C2}" name="Time in Hours" dataDxfId="42"/>
    <tableColumn id="4" xr3:uid="{5C5B5C91-6376-4597-B69B-4D162307C569}" name="Status" dataDxfId="4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40" dataDxfId="39">
  <autoFilter ref="A15:C16" xr:uid="{64CE46E8-9109-463E-9929-B04F65880A6E}"/>
  <tableColumns count="3">
    <tableColumn id="1" xr3:uid="{E71994D0-AB06-482B-8487-03AB7E3B1FF7}" name="Estimated time" dataDxfId="38">
      <calculatedColumnFormula>SUM(Tabelle271013[Estimated time])</calculatedColumnFormula>
    </tableColumn>
    <tableColumn id="2" xr3:uid="{E607785B-5B58-4D1E-81ED-45AAAAF488F0}" name="Actual time" dataDxfId="37">
      <calculatedColumnFormula>SUM(Tabelle271013[Time in Hours])</calculatedColumnFormula>
    </tableColumn>
    <tableColumn id="3" xr3:uid="{0197CFBA-597E-49C6-88E5-ABAC17763EA4}" name="Delta" dataDxfId="36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5" dataDxfId="34">
  <autoFilter ref="E15:F16" xr:uid="{76B5E61D-16B7-49D5-8782-AA9FAFD44E36}"/>
  <tableColumns count="2">
    <tableColumn id="1" xr3:uid="{E0381C51-E5FF-4087-9146-76E105FE701A}" name="Total Storypoints " dataDxfId="33">
      <calculatedColumnFormula>SUM(Tabelle271013[Story points])</calculatedColumnFormula>
    </tableColumn>
    <tableColumn id="2" xr3:uid="{0971B46C-CFAA-4F13-88AB-CDC5655C1F84}" name="Effort/Hour" dataDxfId="32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22" dataDxfId="21">
  <autoFilter ref="A1:K11" xr:uid="{D3B682F1-6F73-4656-A177-C3533051D55F}"/>
  <tableColumns count="11">
    <tableColumn id="1" xr3:uid="{B7D16283-E8F5-4C03-BEC2-39D9F536B2DF}" name="Sprint Start" dataDxfId="20"/>
    <tableColumn id="2" xr3:uid="{743B7730-744D-48F9-8435-134B358D299C}" name="Sprint End" dataDxfId="19"/>
    <tableColumn id="3" xr3:uid="{6BB0BFF2-8337-4911-B853-52953695FFB8}" name="User" dataDxfId="18"/>
    <tableColumn id="5" xr3:uid="{23B9485C-C756-4653-9A7E-4CBFBC4BDCC9}" name="ID" dataDxfId="17"/>
    <tableColumn id="6" xr3:uid="{DA3B151D-2F3B-4817-810C-2B84F6D521DF}" name="Epic" dataDxfId="16"/>
    <tableColumn id="12" xr3:uid="{0B21ADB3-F002-4AC8-8EFB-36998E0BA400}" name="User Story /Task" dataDxfId="15"/>
    <tableColumn id="11" xr3:uid="{0AF7F7D2-16D8-4903-AFB0-E002FAFE9A7B}" name="Estimated time" dataDxfId="14"/>
    <tableColumn id="8" xr3:uid="{2F945FB5-B8D6-4015-9863-4264314B3D66}" name="COS (Criteria of Satisfaction)" dataDxfId="13"/>
    <tableColumn id="9" xr3:uid="{72841B6A-9C3A-4632-878E-ADBD76467B91}" name="Story points" dataDxfId="12"/>
    <tableColumn id="10" xr3:uid="{99643A57-EC89-4FC7-B6E0-CEECFE14CE6B}" name="Time in Hours" dataDxfId="11"/>
    <tableColumn id="4" xr3:uid="{D3F46A45-6C79-4B7E-9924-30DF1A278D97}" name="Status" dataDxfId="1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9" dataDxfId="8">
  <autoFilter ref="A15:C16" xr:uid="{64CE46E8-9109-463E-9929-B04F65880A6E}"/>
  <tableColumns count="3">
    <tableColumn id="1" xr3:uid="{1993629C-98D2-4E46-B14A-696AAE563315}" name="Estimated time" dataDxfId="7">
      <calculatedColumnFormula>SUM(Tabelle27101316[Estimated time])</calculatedColumnFormula>
    </tableColumn>
    <tableColumn id="2" xr3:uid="{C3F5A116-86A6-4D3A-9417-88FA122B0C81}" name="Actual time" dataDxfId="6">
      <calculatedColumnFormula>SUM(Tabelle27101316[Time in Hours])</calculatedColumnFormula>
    </tableColumn>
    <tableColumn id="3" xr3:uid="{B86C31E6-5405-4B45-9B86-86A0C1DBF35C}" name="Delta" dataDxfId="5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4" dataDxfId="3">
  <autoFilter ref="E15:F16" xr:uid="{76B5E61D-16B7-49D5-8782-AA9FAFD44E36}"/>
  <tableColumns count="2">
    <tableColumn id="1" xr3:uid="{E7934959-5DF7-4D4C-858C-1FAD310B1F3B}" name="Total Storypoints " dataDxfId="2">
      <calculatedColumnFormula>SUM(Tabelle27101316[Story points])</calculatedColumnFormula>
    </tableColumn>
    <tableColumn id="2" xr3:uid="{D7E6F4E2-872C-4E38-9126-8A958E19087E}" name="Effort/Hour" dataDxfId="1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31" dataDxfId="30">
  <autoFilter ref="A1:G26" xr:uid="{9C26F5F1-3CA5-4498-8D9F-A792FBE4E032}"/>
  <sortState xmlns:xlrd2="http://schemas.microsoft.com/office/spreadsheetml/2017/richdata2" ref="A2:G26">
    <sortCondition ref="C9:C26"/>
  </sortState>
  <tableColumns count="7">
    <tableColumn id="1" xr3:uid="{BC6E6F54-B9E2-4D1B-BB78-E6F30265832D}" name="Story ID" dataDxfId="29"/>
    <tableColumn id="2" xr3:uid="{5BD6C059-22C9-4C4A-90A3-74736AC1F83D}" name="Title" dataDxfId="28"/>
    <tableColumn id="3" xr3:uid="{F3A7207B-9229-4096-9A5B-C4FB1EDD5455}" name="Priority" dataDxfId="27"/>
    <tableColumn id="4" xr3:uid="{E38B598E-699A-460C-AB30-1E65BB7404BF}" name="Effort" dataDxfId="26"/>
    <tableColumn id="5" xr3:uid="{5087B805-D2DF-49C7-9936-ECACDF516D64}" name="Status" dataDxfId="25"/>
    <tableColumn id="6" xr3:uid="{05DFD049-144E-4717-9B70-2B02AA12CC20}" name="Story Points" dataDxfId="24"/>
    <tableColumn id="7" xr3:uid="{98F7F45D-928E-4B6F-868A-18B3899C12B6}" name="Sprint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F19" sqref="F19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68</v>
      </c>
    </row>
    <row r="2" spans="1:8" ht="21" x14ac:dyDescent="0.5">
      <c r="A2" s="7" t="s">
        <v>70</v>
      </c>
      <c r="B2" s="7" t="s">
        <v>82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71</v>
      </c>
      <c r="B3" s="7" t="s">
        <v>112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72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73</v>
      </c>
      <c r="B5" s="7" t="s">
        <v>136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1" x14ac:dyDescent="0.5">
      <c r="A6" s="7" t="s">
        <v>74</v>
      </c>
      <c r="B6" s="7" t="s">
        <v>155</v>
      </c>
      <c r="C6" s="7" cm="1">
        <f t="array" ref="C6">Tabelle38111417[Estimated time]</f>
        <v>8</v>
      </c>
      <c r="D6" s="7" cm="1">
        <f t="array" ref="D6">Tabelle38111417[Actual time]</f>
        <v>0</v>
      </c>
      <c r="E6" s="7" cm="1">
        <f t="array" ref="E6">Tabelle49121518[[Total Storypoints ]]</f>
        <v>8</v>
      </c>
      <c r="F6" s="7" t="e">
        <f>Tabelle1[[#This Row],[Accomplished Story Points]]/Tabelle1[[#This Row],[Actual Hours]]</f>
        <v>#DIV/0!</v>
      </c>
      <c r="G6" s="7">
        <f>H5</f>
        <v>73</v>
      </c>
      <c r="H6" s="7">
        <f>C13</f>
        <v>65</v>
      </c>
    </row>
    <row r="7" spans="1:8" ht="21" x14ac:dyDescent="0.5">
      <c r="A7" s="7" t="s">
        <v>75</v>
      </c>
      <c r="B7" s="7"/>
      <c r="C7" s="7"/>
      <c r="D7" s="7"/>
      <c r="E7" s="7"/>
      <c r="F7" s="7"/>
      <c r="G7" s="7"/>
      <c r="H7" s="7"/>
    </row>
    <row r="8" spans="1:8" ht="21" x14ac:dyDescent="0.5">
      <c r="A8" s="7" t="s">
        <v>76</v>
      </c>
      <c r="B8" s="7"/>
      <c r="C8" s="7"/>
      <c r="D8" s="7"/>
      <c r="E8" s="7"/>
      <c r="F8" s="7"/>
      <c r="G8" s="7"/>
      <c r="H8" s="7"/>
    </row>
    <row r="12" spans="1:8" ht="23.5" x14ac:dyDescent="0.55000000000000004">
      <c r="B12" s="1" t="s">
        <v>77</v>
      </c>
      <c r="C12" s="5">
        <v>146</v>
      </c>
    </row>
    <row r="13" spans="1:8" ht="23.5" x14ac:dyDescent="0.55000000000000004">
      <c r="B13" s="1" t="s">
        <v>118</v>
      </c>
      <c r="C13" s="5">
        <f>C12-SUM(Tabelle1[Accomplished Story Points])</f>
        <v>65</v>
      </c>
    </row>
    <row r="14" spans="1:8" ht="23.5" x14ac:dyDescent="0.55000000000000004">
      <c r="B14" s="1" t="s">
        <v>81</v>
      </c>
      <c r="C14" s="5">
        <f>COUNTIF(Tabelle1[Sprint],"*Sprint*")</f>
        <v>7</v>
      </c>
    </row>
    <row r="15" spans="1:8" ht="23.5" x14ac:dyDescent="0.55000000000000004">
      <c r="B15" s="1" t="s">
        <v>78</v>
      </c>
      <c r="C15" s="5" t="e">
        <f>AVERAGE(Tabelle1[Velocity])</f>
        <v>#DIV/0!</v>
      </c>
    </row>
    <row r="16" spans="1:8" ht="23.5" x14ac:dyDescent="0.55000000000000004">
      <c r="B16" s="1" t="s">
        <v>79</v>
      </c>
      <c r="C16" s="14">
        <f>(SUM(Tabelle1[Accomplished Story Points],)/G2)</f>
        <v>0.5547945205479452</v>
      </c>
    </row>
    <row r="17" spans="2:4" ht="23.5" x14ac:dyDescent="0.55000000000000004">
      <c r="B17" s="1" t="s">
        <v>69</v>
      </c>
      <c r="C17" s="18" t="e">
        <f>C13/C15</f>
        <v>#DIV/0!</v>
      </c>
      <c r="D17" t="e">
        <f>C17/4</f>
        <v>#DIV/0!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</row>
    <row r="2" spans="1:10" ht="18.5" x14ac:dyDescent="0.45">
      <c r="A2" s="9">
        <v>45925</v>
      </c>
      <c r="B2" s="9">
        <v>45932</v>
      </c>
      <c r="C2" s="8" t="s">
        <v>90</v>
      </c>
      <c r="D2" s="10"/>
      <c r="E2" s="8" t="s">
        <v>82</v>
      </c>
      <c r="F2" s="11" t="s">
        <v>99</v>
      </c>
      <c r="G2" s="8">
        <v>2</v>
      </c>
      <c r="H2" s="8" t="s">
        <v>98</v>
      </c>
      <c r="I2" s="10" t="s">
        <v>91</v>
      </c>
      <c r="J2" s="8">
        <v>2</v>
      </c>
    </row>
    <row r="3" spans="1:10" ht="18.5" x14ac:dyDescent="0.45">
      <c r="A3" s="8"/>
      <c r="B3" s="8"/>
      <c r="C3" s="8" t="s">
        <v>90</v>
      </c>
      <c r="D3" s="8"/>
      <c r="E3" s="8"/>
      <c r="F3" s="8" t="s">
        <v>100</v>
      </c>
      <c r="G3" s="8">
        <v>4</v>
      </c>
      <c r="H3" s="8" t="s">
        <v>92</v>
      </c>
      <c r="I3" s="8"/>
      <c r="J3" s="8">
        <v>4</v>
      </c>
    </row>
    <row r="4" spans="1:10" ht="18.5" x14ac:dyDescent="0.45">
      <c r="A4" s="8"/>
      <c r="B4" s="8"/>
      <c r="C4" s="8" t="s">
        <v>90</v>
      </c>
      <c r="D4" s="8"/>
      <c r="E4" s="8"/>
      <c r="F4" s="8" t="s">
        <v>101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90</v>
      </c>
      <c r="D6" s="8" t="s">
        <v>6</v>
      </c>
      <c r="E6" s="8" t="s">
        <v>104</v>
      </c>
      <c r="F6" s="8" t="s">
        <v>105</v>
      </c>
      <c r="G6" s="8">
        <v>2</v>
      </c>
      <c r="H6" s="8" t="s">
        <v>107</v>
      </c>
      <c r="I6" s="8">
        <v>0</v>
      </c>
      <c r="J6" s="8">
        <v>2</v>
      </c>
    </row>
    <row r="7" spans="1:10" ht="18.5" x14ac:dyDescent="0.45">
      <c r="A7" s="8"/>
      <c r="B7" s="8"/>
      <c r="C7" s="8" t="s">
        <v>90</v>
      </c>
      <c r="D7" s="8" t="s">
        <v>6</v>
      </c>
      <c r="E7" s="8" t="s">
        <v>104</v>
      </c>
      <c r="F7" s="8" t="s">
        <v>106</v>
      </c>
      <c r="G7" s="8">
        <v>3</v>
      </c>
      <c r="H7" s="8" t="s">
        <v>108</v>
      </c>
      <c r="I7" s="8"/>
      <c r="J7" s="8">
        <v>5</v>
      </c>
    </row>
    <row r="8" spans="1:10" ht="18.5" x14ac:dyDescent="0.45">
      <c r="A8" s="8"/>
      <c r="B8" s="8"/>
      <c r="C8" s="8" t="s">
        <v>90</v>
      </c>
      <c r="D8" s="8" t="s">
        <v>6</v>
      </c>
      <c r="E8" s="8" t="s">
        <v>104</v>
      </c>
      <c r="F8" s="8" t="s">
        <v>109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103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90</v>
      </c>
      <c r="D2" s="8" t="s">
        <v>6</v>
      </c>
      <c r="E2" s="8" t="s">
        <v>104</v>
      </c>
      <c r="F2" s="8" t="s">
        <v>106</v>
      </c>
      <c r="G2" s="8">
        <v>2</v>
      </c>
      <c r="H2" s="8" t="s">
        <v>113</v>
      </c>
      <c r="I2" s="10">
        <v>5</v>
      </c>
      <c r="J2" s="8">
        <v>2</v>
      </c>
      <c r="K2" s="19" t="s">
        <v>121</v>
      </c>
    </row>
    <row r="3" spans="1:11" ht="18.5" x14ac:dyDescent="0.45">
      <c r="A3" s="8"/>
      <c r="B3" s="8"/>
      <c r="C3" s="8" t="s">
        <v>90</v>
      </c>
      <c r="D3" s="10" t="s">
        <v>91</v>
      </c>
      <c r="E3" s="8" t="s">
        <v>114</v>
      </c>
      <c r="F3" s="10" t="s">
        <v>91</v>
      </c>
      <c r="G3" s="8">
        <v>1</v>
      </c>
      <c r="H3" s="8" t="s">
        <v>115</v>
      </c>
      <c r="I3" s="8"/>
      <c r="J3" s="8">
        <v>1</v>
      </c>
      <c r="K3" s="19" t="s">
        <v>121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90</v>
      </c>
      <c r="D5" s="8" t="s">
        <v>11</v>
      </c>
      <c r="E5" s="8" t="s">
        <v>12</v>
      </c>
      <c r="F5" s="8" t="s">
        <v>116</v>
      </c>
      <c r="G5" s="8">
        <v>5</v>
      </c>
      <c r="H5" s="8" t="s">
        <v>117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90</v>
      </c>
      <c r="D6" s="8" t="s">
        <v>13</v>
      </c>
      <c r="E6" s="8" t="s">
        <v>14</v>
      </c>
      <c r="F6" s="8" t="s">
        <v>119</v>
      </c>
      <c r="G6" s="8">
        <v>4</v>
      </c>
      <c r="H6" s="8" t="s">
        <v>120</v>
      </c>
      <c r="I6" s="8">
        <v>5</v>
      </c>
      <c r="J6" s="8"/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123</v>
      </c>
      <c r="D9" s="8" t="s">
        <v>50</v>
      </c>
      <c r="E9" s="8" t="s">
        <v>51</v>
      </c>
      <c r="F9" s="8" t="s">
        <v>125</v>
      </c>
      <c r="G9" s="8">
        <v>10</v>
      </c>
      <c r="H9" s="8" t="s">
        <v>126</v>
      </c>
      <c r="I9" s="8">
        <v>3</v>
      </c>
      <c r="J9" s="8">
        <v>15</v>
      </c>
      <c r="K9" s="19" t="s">
        <v>121</v>
      </c>
    </row>
    <row r="10" spans="1:11" ht="18.5" x14ac:dyDescent="0.45">
      <c r="A10" s="8"/>
      <c r="B10" s="8"/>
      <c r="C10" s="8" t="s">
        <v>123</v>
      </c>
      <c r="D10" s="8" t="s">
        <v>50</v>
      </c>
      <c r="E10" s="8" t="s">
        <v>51</v>
      </c>
      <c r="F10" s="8" t="s">
        <v>127</v>
      </c>
      <c r="G10" s="8">
        <v>15</v>
      </c>
      <c r="H10" s="8" t="s">
        <v>128</v>
      </c>
      <c r="I10" s="8">
        <v>3</v>
      </c>
      <c r="J10" s="8">
        <v>10</v>
      </c>
      <c r="K10" s="19" t="s">
        <v>121</v>
      </c>
    </row>
    <row r="11" spans="1:11" ht="18.5" x14ac:dyDescent="0.45">
      <c r="A11" s="8"/>
      <c r="B11" s="8"/>
      <c r="C11" s="8" t="s">
        <v>123</v>
      </c>
      <c r="D11" s="8" t="s">
        <v>50</v>
      </c>
      <c r="E11" s="8" t="s">
        <v>51</v>
      </c>
      <c r="F11" s="8" t="s">
        <v>129</v>
      </c>
      <c r="G11" s="8">
        <v>5</v>
      </c>
      <c r="H11" s="8" t="s">
        <v>130</v>
      </c>
      <c r="I11" s="8"/>
      <c r="J11" s="8"/>
      <c r="K11" s="19" t="s">
        <v>131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10" t="s">
        <v>132</v>
      </c>
      <c r="E3" s="8" t="s">
        <v>14</v>
      </c>
      <c r="F3" s="10" t="s">
        <v>17</v>
      </c>
      <c r="G3" s="8">
        <v>5</v>
      </c>
      <c r="H3" s="10" t="s">
        <v>133</v>
      </c>
      <c r="I3" s="8">
        <v>3</v>
      </c>
      <c r="J3" s="8">
        <v>6</v>
      </c>
      <c r="K3" s="19" t="s">
        <v>121</v>
      </c>
    </row>
    <row r="4" spans="1:11" ht="18.5" x14ac:dyDescent="0.45">
      <c r="A4" s="8"/>
      <c r="B4" s="8"/>
      <c r="C4" s="8" t="s">
        <v>90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138</v>
      </c>
      <c r="I4" s="8">
        <v>7</v>
      </c>
      <c r="J4" s="8">
        <v>4</v>
      </c>
      <c r="K4" s="19" t="s">
        <v>121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150</v>
      </c>
      <c r="E3" s="8" t="s">
        <v>134</v>
      </c>
      <c r="F3" s="8" t="s">
        <v>52</v>
      </c>
      <c r="G3" s="8">
        <v>10</v>
      </c>
      <c r="H3" s="8" t="s">
        <v>135</v>
      </c>
      <c r="I3" s="8">
        <v>8</v>
      </c>
      <c r="J3" s="8">
        <v>10</v>
      </c>
      <c r="K3" s="19" t="s">
        <v>121</v>
      </c>
    </row>
    <row r="4" spans="1:11" ht="18.5" x14ac:dyDescent="0.45">
      <c r="A4" s="8"/>
      <c r="B4" s="8"/>
      <c r="C4" s="8" t="s">
        <v>90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121</v>
      </c>
    </row>
    <row r="5" spans="1:11" ht="18.5" x14ac:dyDescent="0.45">
      <c r="A5" s="8"/>
      <c r="B5" s="8"/>
      <c r="C5" s="8" t="s">
        <v>90</v>
      </c>
      <c r="D5" s="2" t="s">
        <v>11</v>
      </c>
      <c r="E5" s="15" t="s">
        <v>12</v>
      </c>
      <c r="F5" s="8" t="s">
        <v>122</v>
      </c>
      <c r="G5" s="8">
        <v>1</v>
      </c>
      <c r="H5" s="8"/>
      <c r="I5" s="8">
        <v>8</v>
      </c>
      <c r="J5" s="8">
        <v>1</v>
      </c>
      <c r="K5" s="19" t="s">
        <v>121</v>
      </c>
    </row>
    <row r="6" spans="1:11" ht="18.5" x14ac:dyDescent="0.45">
      <c r="A6" s="8"/>
      <c r="B6" s="8"/>
      <c r="C6" s="8" t="s">
        <v>90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137</v>
      </c>
      <c r="I6" s="8">
        <v>6</v>
      </c>
      <c r="J6" s="8">
        <v>2</v>
      </c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123</v>
      </c>
      <c r="D8" s="8" t="s">
        <v>47</v>
      </c>
      <c r="E8" s="8" t="s">
        <v>139</v>
      </c>
      <c r="F8" s="8" t="s">
        <v>58</v>
      </c>
      <c r="G8" s="8">
        <v>4</v>
      </c>
      <c r="H8" s="8" t="s">
        <v>140</v>
      </c>
      <c r="I8" s="8">
        <v>9</v>
      </c>
      <c r="J8" s="8">
        <v>6</v>
      </c>
      <c r="K8" s="19" t="s">
        <v>121</v>
      </c>
    </row>
    <row r="9" spans="1:11" ht="18.5" x14ac:dyDescent="0.45">
      <c r="A9" s="8"/>
      <c r="B9" s="8"/>
      <c r="C9" s="8" t="s">
        <v>123</v>
      </c>
      <c r="D9" s="8" t="s">
        <v>59</v>
      </c>
      <c r="E9" s="8" t="s">
        <v>143</v>
      </c>
      <c r="F9" s="8" t="s">
        <v>146</v>
      </c>
      <c r="G9" s="8">
        <v>5</v>
      </c>
      <c r="H9" s="8" t="s">
        <v>151</v>
      </c>
      <c r="I9" s="8">
        <v>4</v>
      </c>
      <c r="J9" s="8">
        <v>4</v>
      </c>
      <c r="K9" s="19" t="s">
        <v>121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tabSelected="1" topLeftCell="F1" workbookViewId="0">
      <selection activeCell="F27" sqref="F27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154</v>
      </c>
      <c r="E3" s="8" t="s">
        <v>155</v>
      </c>
      <c r="F3" s="8" t="s">
        <v>153</v>
      </c>
      <c r="G3" s="8">
        <v>8</v>
      </c>
      <c r="H3" s="8" t="s">
        <v>156</v>
      </c>
      <c r="I3" s="8">
        <v>8</v>
      </c>
      <c r="J3" s="8"/>
      <c r="K3" s="19"/>
    </row>
    <row r="4" spans="1:11" ht="18.5" x14ac:dyDescent="0.4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8.5" x14ac:dyDescent="0.4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SUM(Tabelle27101316[Estimated time])</f>
        <v>8</v>
      </c>
      <c r="B16" s="12">
        <f>SUM(Tabelle27101316[Time in Hours])</f>
        <v>0</v>
      </c>
      <c r="C16" s="12">
        <f>Tabelle38111417[[#This Row],[Estimated time]]-Tabelle38111417[[#This Row],[Actual time]]</f>
        <v>8</v>
      </c>
      <c r="D16" s="8"/>
      <c r="E16" s="12">
        <f>SUM(Tabelle27101316[Story points])</f>
        <v>8</v>
      </c>
      <c r="F16" s="12" t="e">
        <f>Tabelle49121518[[#This Row],[Total Storypoints ]]/Tabelle38111417[[#This Row],[Actual time]]</f>
        <v>#DIV/0!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zoomScale="125" workbookViewId="0">
      <selection activeCell="D7" sqref="D7"/>
    </sheetView>
  </sheetViews>
  <sheetFormatPr baseColWidth="10" defaultRowHeight="14.5" x14ac:dyDescent="0.35"/>
  <cols>
    <col min="1" max="1" width="9.54296875" bestFit="1" customWidth="1"/>
    <col min="2" max="2" width="17.1796875" bestFit="1" customWidth="1"/>
    <col min="3" max="3" width="9.08984375" bestFit="1" customWidth="1"/>
    <col min="4" max="4" width="86.7265625" bestFit="1" customWidth="1"/>
    <col min="5" max="5" width="10.089843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80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121</v>
      </c>
      <c r="F2" s="2">
        <v>5</v>
      </c>
      <c r="G2" s="2">
        <v>1</v>
      </c>
      <c r="I2" s="17"/>
    </row>
    <row r="3" spans="1:9" x14ac:dyDescent="0.35">
      <c r="A3" s="2" t="s">
        <v>11</v>
      </c>
      <c r="B3" s="15" t="s">
        <v>12</v>
      </c>
      <c r="C3" s="2">
        <v>1</v>
      </c>
      <c r="D3" s="2" t="s">
        <v>122</v>
      </c>
      <c r="E3" s="2" t="s">
        <v>121</v>
      </c>
      <c r="F3" s="2">
        <v>8</v>
      </c>
      <c r="G3" s="2">
        <v>4</v>
      </c>
      <c r="I3" s="17"/>
    </row>
    <row r="4" spans="1:9" x14ac:dyDescent="0.35">
      <c r="A4" s="2" t="s">
        <v>37</v>
      </c>
      <c r="B4" s="15" t="s">
        <v>45</v>
      </c>
      <c r="C4" s="2">
        <v>1</v>
      </c>
      <c r="D4" s="2" t="s">
        <v>46</v>
      </c>
      <c r="E4" s="2" t="s">
        <v>9</v>
      </c>
      <c r="F4" s="2">
        <v>3</v>
      </c>
      <c r="G4" s="2"/>
      <c r="I4" s="17"/>
    </row>
    <row r="5" spans="1:9" x14ac:dyDescent="0.35">
      <c r="A5" s="2" t="s">
        <v>10</v>
      </c>
      <c r="B5" s="15" t="s">
        <v>110</v>
      </c>
      <c r="C5" s="2">
        <v>2</v>
      </c>
      <c r="D5" s="2" t="s">
        <v>111</v>
      </c>
      <c r="E5" s="2" t="s">
        <v>121</v>
      </c>
      <c r="F5" s="2">
        <v>8</v>
      </c>
      <c r="G5" s="2">
        <v>2</v>
      </c>
      <c r="I5" s="17"/>
    </row>
    <row r="6" spans="1:9" x14ac:dyDescent="0.35">
      <c r="A6" s="2" t="s">
        <v>18</v>
      </c>
      <c r="B6" s="15" t="s">
        <v>19</v>
      </c>
      <c r="C6" s="2">
        <v>2</v>
      </c>
      <c r="D6" s="2" t="s">
        <v>20</v>
      </c>
      <c r="E6" s="2" t="s">
        <v>121</v>
      </c>
      <c r="F6" s="2">
        <v>5</v>
      </c>
      <c r="G6" s="2">
        <v>2</v>
      </c>
      <c r="I6" s="17"/>
    </row>
    <row r="7" spans="1:9" x14ac:dyDescent="0.35">
      <c r="A7" s="2" t="s">
        <v>33</v>
      </c>
      <c r="B7" s="15" t="s">
        <v>152</v>
      </c>
      <c r="C7" s="2">
        <v>2</v>
      </c>
      <c r="D7" s="2" t="s">
        <v>153</v>
      </c>
      <c r="E7" s="2" t="s">
        <v>9</v>
      </c>
      <c r="F7" s="2">
        <v>8</v>
      </c>
      <c r="G7" s="2">
        <v>5</v>
      </c>
      <c r="I7" s="17"/>
    </row>
    <row r="8" spans="1:9" x14ac:dyDescent="0.35">
      <c r="A8" s="2" t="s">
        <v>13</v>
      </c>
      <c r="B8" s="15" t="s">
        <v>14</v>
      </c>
      <c r="C8" s="2">
        <v>3</v>
      </c>
      <c r="D8" s="2" t="s">
        <v>15</v>
      </c>
      <c r="E8" s="2" t="s">
        <v>121</v>
      </c>
      <c r="F8" s="2">
        <v>5</v>
      </c>
      <c r="G8" s="2">
        <v>3</v>
      </c>
      <c r="I8" s="17"/>
    </row>
    <row r="9" spans="1:9" x14ac:dyDescent="0.35">
      <c r="A9" s="2" t="s">
        <v>26</v>
      </c>
      <c r="B9" s="15" t="s">
        <v>30</v>
      </c>
      <c r="C9" s="2">
        <v>3</v>
      </c>
      <c r="D9" s="2" t="s">
        <v>31</v>
      </c>
      <c r="E9" s="2" t="s">
        <v>121</v>
      </c>
      <c r="F9" s="2">
        <v>5</v>
      </c>
      <c r="G9" s="2">
        <v>4</v>
      </c>
      <c r="I9" s="17"/>
    </row>
    <row r="10" spans="1:9" x14ac:dyDescent="0.35">
      <c r="A10" s="2" t="s">
        <v>62</v>
      </c>
      <c r="B10" s="15" t="s">
        <v>148</v>
      </c>
      <c r="C10" s="2">
        <v>3</v>
      </c>
      <c r="D10" s="2" t="s">
        <v>149</v>
      </c>
      <c r="E10" s="2" t="s">
        <v>9</v>
      </c>
      <c r="F10" s="2">
        <v>5</v>
      </c>
      <c r="G10" s="2"/>
      <c r="I10" s="17"/>
    </row>
    <row r="11" spans="1:9" x14ac:dyDescent="0.35">
      <c r="A11" s="2" t="s">
        <v>16</v>
      </c>
      <c r="B11" s="15" t="s">
        <v>14</v>
      </c>
      <c r="C11" s="2">
        <v>4</v>
      </c>
      <c r="D11" s="2" t="s">
        <v>17</v>
      </c>
      <c r="E11" s="2" t="s">
        <v>121</v>
      </c>
      <c r="F11" s="2">
        <v>3</v>
      </c>
      <c r="G11" s="2">
        <v>3</v>
      </c>
      <c r="I11" s="17"/>
    </row>
    <row r="12" spans="1:9" x14ac:dyDescent="0.35">
      <c r="A12" s="2" t="s">
        <v>29</v>
      </c>
      <c r="B12" s="15" t="s">
        <v>34</v>
      </c>
      <c r="C12" s="2">
        <v>4</v>
      </c>
      <c r="D12" s="2" t="s">
        <v>35</v>
      </c>
      <c r="E12" s="2" t="s">
        <v>121</v>
      </c>
      <c r="F12" s="2">
        <v>8</v>
      </c>
      <c r="G12" s="2">
        <v>3</v>
      </c>
      <c r="I12" s="17"/>
    </row>
    <row r="13" spans="1:9" x14ac:dyDescent="0.35">
      <c r="A13" s="2" t="s">
        <v>22</v>
      </c>
      <c r="B13" s="15" t="s">
        <v>23</v>
      </c>
      <c r="C13" s="2">
        <v>5</v>
      </c>
      <c r="D13" s="2" t="s">
        <v>24</v>
      </c>
      <c r="E13" s="2" t="s">
        <v>121</v>
      </c>
      <c r="F13" s="2">
        <v>3</v>
      </c>
      <c r="G13" s="2">
        <v>4</v>
      </c>
      <c r="I13" s="17"/>
    </row>
    <row r="14" spans="1:9" x14ac:dyDescent="0.35">
      <c r="A14" s="2" t="s">
        <v>47</v>
      </c>
      <c r="B14" s="15" t="s">
        <v>57</v>
      </c>
      <c r="C14" s="2">
        <v>5</v>
      </c>
      <c r="D14" s="2" t="s">
        <v>58</v>
      </c>
      <c r="E14" s="2" t="s">
        <v>121</v>
      </c>
      <c r="F14" s="2">
        <v>8</v>
      </c>
      <c r="G14" s="2">
        <v>4</v>
      </c>
      <c r="I14" s="17"/>
    </row>
    <row r="15" spans="1:9" x14ac:dyDescent="0.35">
      <c r="A15" s="2" t="s">
        <v>21</v>
      </c>
      <c r="B15" s="15" t="s">
        <v>30</v>
      </c>
      <c r="C15" s="2">
        <v>6</v>
      </c>
      <c r="D15" s="2" t="s">
        <v>147</v>
      </c>
      <c r="E15" s="2" t="s">
        <v>9</v>
      </c>
      <c r="F15" s="2">
        <v>8</v>
      </c>
      <c r="G15" s="2"/>
      <c r="I15" s="17"/>
    </row>
    <row r="16" spans="1:9" x14ac:dyDescent="0.35">
      <c r="A16" s="2" t="s">
        <v>25</v>
      </c>
      <c r="B16" s="15" t="s">
        <v>27</v>
      </c>
      <c r="C16" s="2">
        <v>7</v>
      </c>
      <c r="D16" s="2" t="s">
        <v>28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53</v>
      </c>
      <c r="B17" s="15" t="s">
        <v>141</v>
      </c>
      <c r="C17" s="2">
        <v>7</v>
      </c>
      <c r="D17" s="2" t="s">
        <v>142</v>
      </c>
      <c r="E17" s="2" t="s">
        <v>121</v>
      </c>
      <c r="F17" s="2">
        <v>3</v>
      </c>
      <c r="G17" s="2">
        <v>4</v>
      </c>
      <c r="I17" s="17"/>
    </row>
    <row r="18" spans="1:9" x14ac:dyDescent="0.35">
      <c r="A18" s="2" t="s">
        <v>56</v>
      </c>
      <c r="B18" s="15" t="s">
        <v>144</v>
      </c>
      <c r="C18" s="2">
        <v>7</v>
      </c>
      <c r="D18" s="2" t="s">
        <v>145</v>
      </c>
      <c r="E18" s="2" t="s">
        <v>9</v>
      </c>
      <c r="F18" s="2">
        <v>8</v>
      </c>
      <c r="G18" s="2"/>
      <c r="I18" s="17"/>
    </row>
    <row r="19" spans="1:9" x14ac:dyDescent="0.35">
      <c r="A19" s="2" t="s">
        <v>59</v>
      </c>
      <c r="B19" s="15" t="s">
        <v>143</v>
      </c>
      <c r="C19" s="2">
        <v>7</v>
      </c>
      <c r="D19" s="2" t="s">
        <v>146</v>
      </c>
      <c r="E19" s="2" t="s">
        <v>121</v>
      </c>
      <c r="F19" s="2">
        <v>5</v>
      </c>
      <c r="G19" s="2">
        <v>4</v>
      </c>
      <c r="I19" s="17"/>
    </row>
    <row r="20" spans="1:9" x14ac:dyDescent="0.35">
      <c r="A20" s="2" t="s">
        <v>41</v>
      </c>
      <c r="B20" s="15" t="s">
        <v>51</v>
      </c>
      <c r="C20" s="2">
        <v>8</v>
      </c>
      <c r="D20" s="2" t="s">
        <v>52</v>
      </c>
      <c r="E20" s="2" t="s">
        <v>121</v>
      </c>
      <c r="F20" s="2">
        <v>8</v>
      </c>
      <c r="G20" s="2">
        <v>4</v>
      </c>
      <c r="I20" s="17"/>
    </row>
    <row r="21" spans="1:9" x14ac:dyDescent="0.35">
      <c r="A21" s="2" t="s">
        <v>32</v>
      </c>
      <c r="B21" s="15" t="s">
        <v>38</v>
      </c>
      <c r="C21" s="2">
        <v>11</v>
      </c>
      <c r="D21" s="2" t="s">
        <v>39</v>
      </c>
      <c r="E21" s="2" t="s">
        <v>9</v>
      </c>
      <c r="F21" s="2">
        <v>3</v>
      </c>
      <c r="G21" s="2"/>
      <c r="I21" s="17"/>
    </row>
    <row r="22" spans="1:9" x14ac:dyDescent="0.35">
      <c r="A22" s="2" t="s">
        <v>36</v>
      </c>
      <c r="B22" s="15" t="s">
        <v>42</v>
      </c>
      <c r="C22" s="2">
        <v>12</v>
      </c>
      <c r="D22" s="2" t="s">
        <v>43</v>
      </c>
      <c r="E22" s="2" t="s">
        <v>9</v>
      </c>
      <c r="F22" s="2">
        <v>5</v>
      </c>
      <c r="G22" s="2"/>
      <c r="I22" s="17"/>
    </row>
    <row r="23" spans="1:9" x14ac:dyDescent="0.35">
      <c r="A23" s="2" t="s">
        <v>40</v>
      </c>
      <c r="B23" s="15" t="s">
        <v>48</v>
      </c>
      <c r="C23" s="2">
        <v>13</v>
      </c>
      <c r="D23" s="2" t="s">
        <v>49</v>
      </c>
      <c r="E23" s="2" t="s">
        <v>9</v>
      </c>
      <c r="F23" s="2">
        <v>5</v>
      </c>
      <c r="G23" s="2"/>
      <c r="I23" s="17"/>
    </row>
    <row r="24" spans="1:9" x14ac:dyDescent="0.35">
      <c r="A24" s="2" t="s">
        <v>44</v>
      </c>
      <c r="B24" s="15" t="s">
        <v>54</v>
      </c>
      <c r="C24" s="2">
        <v>14</v>
      </c>
      <c r="D24" s="2" t="s">
        <v>55</v>
      </c>
      <c r="E24" s="2" t="s">
        <v>9</v>
      </c>
      <c r="F24" s="2">
        <v>3</v>
      </c>
      <c r="G24" s="2"/>
      <c r="I24" s="17"/>
    </row>
    <row r="25" spans="1:9" x14ac:dyDescent="0.35">
      <c r="A25" s="2" t="s">
        <v>50</v>
      </c>
      <c r="B25" s="15" t="s">
        <v>60</v>
      </c>
      <c r="C25" s="2">
        <v>15</v>
      </c>
      <c r="D25" s="2" t="s">
        <v>61</v>
      </c>
      <c r="E25" s="2" t="s">
        <v>9</v>
      </c>
      <c r="F25" s="2">
        <v>5</v>
      </c>
      <c r="G25" s="2"/>
    </row>
    <row r="26" spans="1:9" x14ac:dyDescent="0.35">
      <c r="A26" s="4"/>
      <c r="B26" s="16"/>
      <c r="C26" s="4"/>
      <c r="D26" s="4"/>
      <c r="E26" s="4"/>
      <c r="F26" s="4">
        <f>SUM(F2:F24)</f>
        <v>127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2025-11-29T11:31:56Z</dcterms:modified>
</cp:coreProperties>
</file>