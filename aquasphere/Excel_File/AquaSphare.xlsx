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danielhoheneder/Desktop/Schule/syp/AquaSphere/aquasphere/Excel_File/"/>
    </mc:Choice>
  </mc:AlternateContent>
  <xr:revisionPtr revIDLastSave="0" documentId="13_ncr:1_{8D8EA61E-4E12-CB40-AB47-0558D1F2F0E7}" xr6:coauthVersionLast="47" xr6:coauthVersionMax="47" xr10:uidLastSave="{00000000-0000-0000-0000-000000000000}"/>
  <bookViews>
    <workbookView xWindow="0" yWindow="660" windowWidth="25820" windowHeight="15500" activeTab="6" xr2:uid="{3C511D28-10C8-4337-AED7-CFA66BBB7484}"/>
  </bookViews>
  <sheets>
    <sheet name="Sprint Dashboard" sheetId="2" r:id="rId1"/>
    <sheet name="Sprint1" sheetId="3" r:id="rId2"/>
    <sheet name="Sprint2" sheetId="4" r:id="rId3"/>
    <sheet name="Sprint3" sheetId="5" r:id="rId4"/>
    <sheet name="Sprint4" sheetId="6" r:id="rId5"/>
    <sheet name="Sprint5" sheetId="7" r:id="rId6"/>
    <sheet name="Sprint6" sheetId="8" r:id="rId7"/>
    <sheet name="Story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8" l="1"/>
  <c r="B19" i="8"/>
  <c r="A19" i="8"/>
  <c r="G6" i="2"/>
  <c r="F2" i="2"/>
  <c r="F3" i="2"/>
  <c r="F4" i="2"/>
  <c r="F5" i="2"/>
  <c r="E16" i="7"/>
  <c r="E6" i="2" s="1" a="1"/>
  <c r="E6" i="2" s="1"/>
  <c r="B16" i="7"/>
  <c r="D6" i="2" s="1" a="1"/>
  <c r="D6" i="2" s="1"/>
  <c r="A16" i="7"/>
  <c r="C6" i="2" s="1" a="1"/>
  <c r="C6" i="2" s="1"/>
  <c r="G28" i="1"/>
  <c r="G4" i="2"/>
  <c r="E16" i="6"/>
  <c r="E5" i="2" s="1" a="1"/>
  <c r="E5" i="2" s="1"/>
  <c r="B16" i="6"/>
  <c r="D5" i="2" s="1" a="1"/>
  <c r="D5" i="2" s="1"/>
  <c r="A16" i="6"/>
  <c r="E17" i="5"/>
  <c r="E4" i="2" s="1" a="1"/>
  <c r="E4" i="2" s="1"/>
  <c r="B17" i="5"/>
  <c r="D4" i="2" s="1" a="1"/>
  <c r="D4" i="2" s="1"/>
  <c r="A17" i="5"/>
  <c r="C4" i="2" s="1" a="1"/>
  <c r="C4" i="2" s="1"/>
  <c r="E2" i="2" a="1"/>
  <c r="E2" i="2" s="1"/>
  <c r="E17" i="4"/>
  <c r="E3" i="2" s="1" a="1"/>
  <c r="E3" i="2" s="1"/>
  <c r="B17" i="4"/>
  <c r="D3" i="2" s="1" a="1"/>
  <c r="D3" i="2" s="1"/>
  <c r="A17" i="4"/>
  <c r="E16" i="3"/>
  <c r="B16" i="3"/>
  <c r="D2" i="2" s="1" a="1"/>
  <c r="D2" i="2" s="1"/>
  <c r="A16" i="3"/>
  <c r="C2" i="2" s="1" a="1"/>
  <c r="C2" i="2" s="1"/>
  <c r="C14" i="2"/>
  <c r="F19" i="8" l="1"/>
  <c r="C19" i="8"/>
  <c r="F6" i="2"/>
  <c r="F16" i="7"/>
  <c r="C16" i="7"/>
  <c r="C16" i="6"/>
  <c r="C5" i="2" a="1"/>
  <c r="C5" i="2" s="1"/>
  <c r="F16" i="6"/>
  <c r="C13" i="2"/>
  <c r="H6" i="2" s="1"/>
  <c r="C17" i="5"/>
  <c r="F17" i="5"/>
  <c r="C17" i="4"/>
  <c r="F17" i="4"/>
  <c r="C3" i="2" a="1"/>
  <c r="C3" i="2" s="1"/>
  <c r="C16" i="2"/>
  <c r="F16" i="3"/>
  <c r="C16" i="3"/>
  <c r="H3" i="2"/>
  <c r="H4" i="2"/>
  <c r="G5" i="2" s="1"/>
  <c r="H5" i="2" s="1"/>
  <c r="H2" i="2"/>
  <c r="C15" i="2" l="1"/>
  <c r="C17" i="2" s="1"/>
  <c r="D1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<sst xmlns="http://schemas.openxmlformats.org/spreadsheetml/2006/main" count="387" uniqueCount="182">
  <si>
    <t>Story ID</t>
  </si>
  <si>
    <t>Title</t>
  </si>
  <si>
    <t>Priority</t>
  </si>
  <si>
    <t>Status</t>
  </si>
  <si>
    <t>Sprint</t>
  </si>
  <si>
    <t>AQU1</t>
  </si>
  <si>
    <t>Aquarium-Ansicht</t>
  </si>
  <si>
    <t>Als Nutzer möchte ich ein virtuelles Aquarium sehen.</t>
  </si>
  <si>
    <t>Not Started</t>
  </si>
  <si>
    <t>AQU2</t>
  </si>
  <si>
    <t>AQU3</t>
  </si>
  <si>
    <t>Grundfunktionen</t>
  </si>
  <si>
    <t>AQU4</t>
  </si>
  <si>
    <t>Dekoration</t>
  </si>
  <si>
    <t>Als Nutzer möchte ich Pflanzen in mein Aquarium setzen.</t>
  </si>
  <si>
    <t>AQU5</t>
  </si>
  <si>
    <t>Als Nutzer möchte ich Steine und Korallen platzieren.</t>
  </si>
  <si>
    <t>AQU6</t>
  </si>
  <si>
    <t>Personalisierung</t>
  </si>
  <si>
    <t>Als Nutzer möchte ich verschiedene Fischarten auswählen.</t>
  </si>
  <si>
    <t>AQU7</t>
  </si>
  <si>
    <t>AQU8</t>
  </si>
  <si>
    <t>Speichersystem</t>
  </si>
  <si>
    <t>Als Nutzer möchte ich mein Aquarium speichern.</t>
  </si>
  <si>
    <t>AQU9</t>
  </si>
  <si>
    <t>AQU10</t>
  </si>
  <si>
    <t>Anpassung</t>
  </si>
  <si>
    <t>Als Nutzer möchte ich die Aquarium-Größe ändern.</t>
  </si>
  <si>
    <t>AQU11</t>
  </si>
  <si>
    <t>UI/UX</t>
  </si>
  <si>
    <t>Als Nutzer möchte ich eine intuitive Benutzeroberfläche.</t>
  </si>
  <si>
    <t>AQU12</t>
  </si>
  <si>
    <t>AQU13</t>
  </si>
  <si>
    <t>Responsive Design</t>
  </si>
  <si>
    <t>Als Nutzer möchte ich die App auf verschiedenen Geräten nutzen.</t>
  </si>
  <si>
    <t>AQU14</t>
  </si>
  <si>
    <t>AQU15</t>
  </si>
  <si>
    <t>Beleuchtung</t>
  </si>
  <si>
    <t>Als Nutzer möchte ich die Aquarium-Beleuchtung ändern.</t>
  </si>
  <si>
    <t>AQU16</t>
  </si>
  <si>
    <t>AQU17</t>
  </si>
  <si>
    <t>Themes</t>
  </si>
  <si>
    <t>Als Nutzer möchte ich verschiedene Aquarium-Themes wählen.</t>
  </si>
  <si>
    <t>AQU18</t>
  </si>
  <si>
    <t>Datenschutz</t>
  </si>
  <si>
    <t>Als Nutzer möchte ich meine Daten geschützt wissen.</t>
  </si>
  <si>
    <t>AQU19</t>
  </si>
  <si>
    <t>Aquarium-Pflege</t>
  </si>
  <si>
    <t>Als Nutzer möchte ich mein Aquarium reinigen können.</t>
  </si>
  <si>
    <t>AQU20</t>
  </si>
  <si>
    <t>Cloud-Sync</t>
  </si>
  <si>
    <t>Als Nutzer möchte ich mein Aquarium geräteübergreifend synchronisieren.</t>
  </si>
  <si>
    <t>AQU21</t>
  </si>
  <si>
    <t>Statistiken</t>
  </si>
  <si>
    <t>Als Nutzer möchte ich Statistiken zu meinem Aquarium sehen.</t>
  </si>
  <si>
    <t>AQU22</t>
  </si>
  <si>
    <t>Fisch-KI</t>
  </si>
  <si>
    <t>Als Nutzer möchte ich realistische Fischverhalten sehen.</t>
  </si>
  <si>
    <t>AQU23</t>
  </si>
  <si>
    <t>Achievements</t>
  </si>
  <si>
    <t>Als Nutzer möchte ich Erfolge freischalten.</t>
  </si>
  <si>
    <t>AQU24</t>
  </si>
  <si>
    <t>Estimated Hours</t>
  </si>
  <si>
    <t>Actual Hours</t>
  </si>
  <si>
    <t>Accomplished Story Points</t>
  </si>
  <si>
    <t>Velocity</t>
  </si>
  <si>
    <t>Total Storypoints</t>
  </si>
  <si>
    <t>Storypoints Left</t>
  </si>
  <si>
    <t>Estimated Time</t>
  </si>
  <si>
    <t>Sprint 1</t>
  </si>
  <si>
    <t>Sprint 2</t>
  </si>
  <si>
    <t>Sprint 3</t>
  </si>
  <si>
    <t>Sprint 4</t>
  </si>
  <si>
    <t>Sprint 5</t>
  </si>
  <si>
    <t>Sprint 6</t>
  </si>
  <si>
    <t>Sprint 7</t>
  </si>
  <si>
    <t>Total Story Points</t>
  </si>
  <si>
    <t>Average Velocity</t>
  </si>
  <si>
    <t>Project Progress (%)</t>
  </si>
  <si>
    <t>Story Points</t>
  </si>
  <si>
    <t>Sprints Count</t>
  </si>
  <si>
    <t>Excel/Planung/Project Proposal</t>
  </si>
  <si>
    <t>Sprint Start</t>
  </si>
  <si>
    <t>Sprint End</t>
  </si>
  <si>
    <t>User</t>
  </si>
  <si>
    <t>ID</t>
  </si>
  <si>
    <t>Story points</t>
  </si>
  <si>
    <t>Time in Hours</t>
  </si>
  <si>
    <t>COS (Criteria of Satisfaction)</t>
  </si>
  <si>
    <t>RM</t>
  </si>
  <si>
    <t>-</t>
  </si>
  <si>
    <t>Ein optimales Excel-Sheet wird erstellt, um die Fortschritte klar und effizient zu überwachen.</t>
  </si>
  <si>
    <t>Estimated time</t>
  </si>
  <si>
    <t>Actual time</t>
  </si>
  <si>
    <t>Delta</t>
  </si>
  <si>
    <t>User Story /Task</t>
  </si>
  <si>
    <t>Epic</t>
  </si>
  <si>
    <t>Project Proposal ist vollständig.</t>
  </si>
  <si>
    <t>Projekt überlegen</t>
  </si>
  <si>
    <t>Project Proposal erstellen</t>
  </si>
  <si>
    <t>Excel Sheet erstellen</t>
  </si>
  <si>
    <t xml:space="preserve">Total Storypoints </t>
  </si>
  <si>
    <t>Efford/Hour</t>
  </si>
  <si>
    <t xml:space="preserve">Aquarium </t>
  </si>
  <si>
    <t>Aquarium Anzeigen</t>
  </si>
  <si>
    <t>Wasser und Effeckte</t>
  </si>
  <si>
    <t>Ein Aquarium ist vorhanden</t>
  </si>
  <si>
    <t>Wasser befindet sich im aquarium wellen/blasen bewegen sich</t>
  </si>
  <si>
    <t>Buttons für Licht/Füttern..</t>
  </si>
  <si>
    <t>Fisch</t>
  </si>
  <si>
    <t>Als Nutzer möchte ich Fisch in meinem Aquarium schwimmen sehen.</t>
  </si>
  <si>
    <t>Monitoring/AQU1</t>
  </si>
  <si>
    <t>Wasser befindet sich im aquarium wellen oben / steine/erde am boden?</t>
  </si>
  <si>
    <t>Handyansicht</t>
  </si>
  <si>
    <t>Ansicht im Handyformat</t>
  </si>
  <si>
    <t>Profilverwaltung/Anlegen</t>
  </si>
  <si>
    <t>Als nutzer möchte ich mich anmelden und "mein" Aquarium haben</t>
  </si>
  <si>
    <t>Story Points left</t>
  </si>
  <si>
    <t>Pflanzen</t>
  </si>
  <si>
    <t>Als nutzer möchte ich Pflanzen in mein Aquarium Setzen</t>
  </si>
  <si>
    <t>Done</t>
  </si>
  <si>
    <t>Als Nutzer möchte "mein" Aquarium haben</t>
  </si>
  <si>
    <t>DH</t>
  </si>
  <si>
    <t>Effort/Hour</t>
  </si>
  <si>
    <t>Als Nutzer möchte ich mein Aquarium geräteübergreifend synchronisieren. / Backend mit Datenbank erstellen</t>
  </si>
  <si>
    <t>Datenbank und Backend erstellt und einsatzbereit</t>
  </si>
  <si>
    <t>Als Nutzer möchte ich mein Aquarium geräteübergreifend synchronisieren. / Zustand speichern und korrekt mit User verknüpfen</t>
  </si>
  <si>
    <t>Zustände müssen universell für offline und online speicherung erstellt werden. Online zustände werden ans Backend übertragen und korrekt mit dem User abgespeichert</t>
  </si>
  <si>
    <t>Als Nutzer möchte ich mein Aquarium geräteübergreifend synchronisieren. / Offline und Online zustände korrekt handlen</t>
  </si>
  <si>
    <t>Wenn der User einsteigt wird überprüft welcher Speicherstand der aktuellste ist und dieser dann heruntergeladen / hochgeladen</t>
  </si>
  <si>
    <t>in progress</t>
  </si>
  <si>
    <t>AQ4</t>
  </si>
  <si>
    <t>Als Nutzer möchte ich Steine und Korallen platzieren. Unterschiedliche Pflanzen sollen zur auswahl steten</t>
  </si>
  <si>
    <t>Cloud/Sync</t>
  </si>
  <si>
    <t>Als Nutzer möchte ich mich auf individuellen geräten einloggen und MEIN Aquarium haben und bearbeiten</t>
  </si>
  <si>
    <t>Coudsync</t>
  </si>
  <si>
    <t>Die Nutzeroberfläche soll Userfrendly sein, Klar, deutlich, Kurze wege</t>
  </si>
  <si>
    <t>Als Nutzer möchte ich Mein Aquarium auf verschiedenen geräten sehen</t>
  </si>
  <si>
    <t>FischKI</t>
  </si>
  <si>
    <t>Die KI muss verschiedene Szenarien und verhaltensweisen aufweisen (Füttern, FreeRoam, Tot)</t>
  </si>
  <si>
    <t>Futter-System</t>
  </si>
  <si>
    <t xml:space="preserve">Als Nutzer möchte ich die Fische füttern können und müssen </t>
  </si>
  <si>
    <t>Hunger-System</t>
  </si>
  <si>
    <t>Fisch-Statistiken</t>
  </si>
  <si>
    <t>Als Nutzer möchte ich sehen welcher Fisch was für einen Zustand hat</t>
  </si>
  <si>
    <t>Als Nutzer möchte ich den Hungerzustand meiner Fische wissen und handeln können</t>
  </si>
  <si>
    <t>Als Nutzer möchte ich einen Tag/Nacht Zyklus haben</t>
  </si>
  <si>
    <t>Tutorial/Onboarding</t>
  </si>
  <si>
    <t>Als Nutzer möchte ich wissen wie ich die App bediene und einen Überblick über die Funktionen bekommen</t>
  </si>
  <si>
    <t>AQ17</t>
  </si>
  <si>
    <t>Es muss ein visueller Balken oder ähnliches vorhanden sein der anzeigt wann ein Fisch Hunger hat und gefüttert gehört</t>
  </si>
  <si>
    <t>Punke</t>
  </si>
  <si>
    <t>Als Nutzer möchte ich Punkte verdienen und diese für "extras" und Fische ausgeben können.</t>
  </si>
  <si>
    <t>AQ13</t>
  </si>
  <si>
    <t>Punktesystem</t>
  </si>
  <si>
    <t>Ein Punktesystem ist implementiert, Preise und "einkommen" sind definiert</t>
  </si>
  <si>
    <t>AQ22</t>
  </si>
  <si>
    <t>Schmutz muss entstehen und sichtbar sein. User kann über reinigen button oder mit einem Brush tool das Aquarium reinigen</t>
  </si>
  <si>
    <t>Schmutz spawn optimiert.</t>
  </si>
  <si>
    <t>Es müssen Daten über den ausgewählten Fisch preisgegeben werden können und vernünftig sowie für den User klar verständlich präsentiert werden.</t>
  </si>
  <si>
    <t>Punktesystem/UX Tweaks</t>
  </si>
  <si>
    <t>Story</t>
  </si>
  <si>
    <t>Acceptance Criteria</t>
  </si>
  <si>
    <t>*Wenn das Spiel das erste Mal gestartet wird, bekomme ich die wichtigsten Regeln in einem Splash Screen
* Es gibt einen Button, mit dem ich den Splashscreen herzeigen kann</t>
  </si>
  <si>
    <t>* Es gibt eine Aquariumszeit, die von der realen Zeit unabhängig ist
* Man kann den Zeitfortschritt verändern (2-fach bis x-fach??)
* Wenn man ausloggt, geht die Zeit automatisch wieder auf 1-fach zurück</t>
  </si>
  <si>
    <t>* Es gibt eine Aquariumszeit, die von der realen Zeit unabhängig ist</t>
  </si>
  <si>
    <t>* Man kann den Zeitfortschritt verändern (2-fach bis x-fach??)</t>
  </si>
  <si>
    <t>* Wenn man ausloggt, geht die Zeit automatisch wieder auf 1-fach zurück</t>
  </si>
  <si>
    <t>Started</t>
  </si>
  <si>
    <t>Reinigung</t>
  </si>
  <si>
    <t>Als Nutzer möchte ich von meinen Pflanzen profitieren und auch Putzfische haben.</t>
  </si>
  <si>
    <t>Pflanzen sollen sich passiv Positiv auf die Sauberkeit des Aquariums auswirken, Putzfische sollen ebenfalls passiv für Sauberkeit sorgen</t>
  </si>
  <si>
    <t>Schmutzige Aquairen sollen weniger "Geld" produzieren</t>
  </si>
  <si>
    <t>AQU25</t>
  </si>
  <si>
    <t>Eco</t>
  </si>
  <si>
    <t>Pflanzen sollen sich passiv Positiv auf die Sauberkeit des Aquariums auswirken, Putzfische sollen ebenfalls passiv für Sauberkeit sorgen. Schmutzige Aquairen sollen weniger "Geld" produzieren</t>
  </si>
  <si>
    <t>AQU26</t>
  </si>
  <si>
    <t>Schmutz</t>
  </si>
  <si>
    <t>Als Nutzer möchte ich, dass sich der Schmutz realistisch verhält.</t>
  </si>
  <si>
    <t>Schmutz muss die Sichtbarkeit der Fische beeinträchtigen und das Wasser verfärben</t>
  </si>
  <si>
    <t>Onboarding</t>
  </si>
  <si>
    <t>Wenn das Spiel das erste Mal gestartet wird, bekomme ich die wichtigsten Regeln in einem Splash Screen
Es gibt einen Button, mit dem ich den Splashscreen herzeigen kann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</si>
</sst>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81B77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5">
    <xf numFmtId="0" fontId="0" fillId="0" borderId="0" xfId="0"/>
    <xf numFmtId="0" fontId="3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4" fillId="5" borderId="0" xfId="0" applyFont="1" applyFill="1"/>
    <xf numFmtId="0" fontId="5" fillId="4" borderId="0" xfId="0" applyFont="1" applyFill="1"/>
    <xf numFmtId="0" fontId="6" fillId="3" borderId="0" xfId="0" applyFont="1" applyFill="1"/>
    <xf numFmtId="0" fontId="7" fillId="0" borderId="0" xfId="0" applyFont="1"/>
    <xf numFmtId="14" fontId="7" fillId="0" borderId="0" xfId="0" applyNumberFormat="1" applyFont="1"/>
    <xf numFmtId="0" fontId="7" fillId="0" borderId="0" xfId="0" quotePrefix="1" applyFont="1"/>
    <xf numFmtId="15" fontId="7" fillId="0" borderId="0" xfId="0" quotePrefix="1" applyNumberFormat="1" applyFont="1"/>
    <xf numFmtId="0" fontId="7" fillId="6" borderId="0" xfId="0" applyFont="1" applyFill="1"/>
    <xf numFmtId="0" fontId="7" fillId="5" borderId="0" xfId="0" applyFont="1" applyFill="1"/>
    <xf numFmtId="9" fontId="4" fillId="5" borderId="0" xfId="1" applyFont="1" applyFill="1"/>
    <xf numFmtId="0" fontId="0" fillId="3" borderId="1" xfId="0" applyFill="1" applyBorder="1"/>
    <xf numFmtId="0" fontId="0" fillId="5" borderId="1" xfId="0" applyFill="1" applyBorder="1"/>
    <xf numFmtId="0" fontId="0" fillId="0" borderId="1" xfId="0" applyBorder="1"/>
    <xf numFmtId="2" fontId="4" fillId="5" borderId="0" xfId="1" applyNumberFormat="1" applyFont="1" applyFill="1"/>
    <xf numFmtId="0" fontId="9" fillId="0" borderId="0" xfId="0" applyFont="1"/>
    <xf numFmtId="0" fontId="0" fillId="3" borderId="0" xfId="0" applyFill="1" applyAlignment="1">
      <alignment wrapText="1"/>
    </xf>
    <xf numFmtId="0" fontId="1" fillId="4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151"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solid">
          <fgColor rgb="FF000000"/>
          <bgColor rgb="FF0F9E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solid">
          <fgColor rgb="FF000000"/>
          <bgColor rgb="FF0F9E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solid">
          <fgColor rgb="FF000000"/>
          <bgColor rgb="FF0F9E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solid">
          <fgColor rgb="FF000000"/>
          <bgColor rgb="FF0F9E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solid">
          <fgColor rgb="FF000000"/>
          <bgColor rgb="FF0F9E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solid">
          <fgColor rgb="FF000000"/>
          <bgColor rgb="FF0F9E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solid">
          <fgColor rgb="FF000000"/>
          <bgColor rgb="FF0F9E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solid">
          <fgColor rgb="FF000000"/>
          <bgColor rgb="FF0F9E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solid">
          <fgColor rgb="FF000000"/>
          <bgColor rgb="FF0F9E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solid">
          <fgColor rgb="FF000000"/>
          <bgColor rgb="FF0F9E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F41172-5838-4CA9-A8A2-78B1E57ACF1F}" name="Tabelle1" displayName="Tabelle1" ref="A1:H8" totalsRowShown="0" headerRowDxfId="150" dataDxfId="149">
  <autoFilter ref="A1:H8" xr:uid="{AAF41172-5838-4CA9-A8A2-78B1E57ACF1F}"/>
  <tableColumns count="8">
    <tableColumn id="1" xr3:uid="{8BB8E342-544E-430C-A72A-9EBF9676D447}" name="Sprint" dataDxfId="148"/>
    <tableColumn id="9" xr3:uid="{96A939A8-DA63-4E70-B123-D31A897D4192}" name="Story ID" dataDxfId="147"/>
    <tableColumn id="2" xr3:uid="{CB307D23-EE39-436B-9E06-9E7789362DB6}" name="Estimated Hours" dataDxfId="146">
      <calculatedColumnFormula array="1">Tabelle3[Estimated time]</calculatedColumnFormula>
    </tableColumn>
    <tableColumn id="3" xr3:uid="{5EFC7DEC-DFDE-454B-90FC-2713EB4181D8}" name="Actual Hours" dataDxfId="145">
      <calculatedColumnFormula array="1">Tabelle3[Actual time]</calculatedColumnFormula>
    </tableColumn>
    <tableColumn id="4" xr3:uid="{D6FF0659-1B35-4F09-B5A7-D22FEF5F7C3F}" name="Accomplished Story Points" dataDxfId="144">
      <calculatedColumnFormula array="1">Tabelle4[[Total Storypoints ]]</calculatedColumnFormula>
    </tableColumn>
    <tableColumn id="5" xr3:uid="{9CD2DBE3-2E45-4440-8D7A-2A03A0291AAD}" name="Velocity" dataDxfId="143">
      <calculatedColumnFormula>Tabelle1[[#This Row],[Accomplished Story Points]]/Tabelle1[[#This Row],[Actual Hours]]</calculatedColumnFormula>
    </tableColumn>
    <tableColumn id="6" xr3:uid="{1977DF7A-0A05-43B5-99D3-B72159480780}" name="Total Storypoints" dataDxfId="142"/>
    <tableColumn id="7" xr3:uid="{D8A5F5FE-B9BC-448A-A9E7-3D00888AE639}" name="Storypoints Left" dataDxfId="141">
      <calculatedColumnFormula>Tabelle1[[#This Row],[Total Storypoints]]-Tabelle1[[#This Row],[Accomplished Story Points]]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9F99A6-83FF-4FC0-82EE-54F2B8B8AE5A}" name="Tabelle2" displayName="Tabelle2" ref="A1:J9" insertRowShift="1" totalsRowShown="0" headerRowDxfId="140" dataDxfId="139">
  <autoFilter ref="A1:J9" xr:uid="{739F99A6-83FF-4FC0-82EE-54F2B8B8AE5A}"/>
  <tableColumns count="10">
    <tableColumn id="1" xr3:uid="{0351E8C1-0BB8-4C19-A406-233CC12328E5}" name="Sprint Start" dataDxfId="138"/>
    <tableColumn id="2" xr3:uid="{51BD2FE0-507A-4398-BD96-E186E78BB2C7}" name="Sprint End" dataDxfId="137"/>
    <tableColumn id="3" xr3:uid="{A3B7E86B-E01A-4D78-82AD-BA81F6AC7ADF}" name="User" dataDxfId="136"/>
    <tableColumn id="5" xr3:uid="{CE780601-F45C-4063-B216-98ACE5588903}" name="ID" dataDxfId="135"/>
    <tableColumn id="6" xr3:uid="{A14D049D-AC5C-49A5-A7CC-A4D5ED8A8330}" name="Epic" dataDxfId="134"/>
    <tableColumn id="12" xr3:uid="{770F10A6-830A-41AC-B069-6267CAE00BDF}" name="User Story /Task" dataDxfId="133"/>
    <tableColumn id="11" xr3:uid="{0D9AB552-F7B4-4231-A35B-245B57383919}" name="Estimated time" dataDxfId="132"/>
    <tableColumn id="8" xr3:uid="{3E2E3644-9002-4AB9-B3EC-96FFF84D8900}" name="COS (Criteria of Satisfaction)" dataDxfId="131"/>
    <tableColumn id="9" xr3:uid="{14C8E3A9-BC37-48D9-A399-32A48A46993A}" name="Story points" dataDxfId="130"/>
    <tableColumn id="10" xr3:uid="{151786D9-5F15-42D7-932B-664A024F4131}" name="Time in Hours" dataDxfId="1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9F1E8C-9DFD-4482-95C6-9C23936D055B}" name="Tabelle3" displayName="Tabelle3" ref="A15:C16" totalsRowShown="0" headerRowDxfId="128" dataDxfId="127">
  <autoFilter ref="A15:C16" xr:uid="{F79F1E8C-9DFD-4482-95C6-9C23936D055B}"/>
  <tableColumns count="3">
    <tableColumn id="1" xr3:uid="{CD2D4D96-DD34-4EA3-92D7-B02BB9DE5647}" name="Estimated time" dataDxfId="126">
      <calculatedColumnFormula>SUM(Tabelle2[Estimated time])</calculatedColumnFormula>
    </tableColumn>
    <tableColumn id="2" xr3:uid="{0F14E190-6E0A-4AB8-8ADE-83875E98D4B5}" name="Actual time" dataDxfId="125">
      <calculatedColumnFormula>SUM(Tabelle2[Time in Hours])</calculatedColumnFormula>
    </tableColumn>
    <tableColumn id="3" xr3:uid="{5DE18543-F4D3-4732-9F2D-5B7F140CB974}" name="Delta" dataDxfId="124">
      <calculatedColumnFormula>Tabelle3[[#This Row],[Estimated time]]-Tabelle3[[#This Row],[Actual time]]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FF718A-3E4E-40DD-BD72-E3ACE1B58735}" name="Tabelle4" displayName="Tabelle4" ref="E15:F16" totalsRowShown="0" headerRowDxfId="123" dataDxfId="122">
  <autoFilter ref="E15:F16" xr:uid="{F5FF718A-3E4E-40DD-BD72-E3ACE1B58735}"/>
  <tableColumns count="2">
    <tableColumn id="1" xr3:uid="{2E187AEA-682F-4749-9FC8-ED3BA3DE1DA2}" name="Total Storypoints " dataDxfId="121">
      <calculatedColumnFormula>SUM(Tabelle2[Story points])</calculatedColumnFormula>
    </tableColumn>
    <tableColumn id="2" xr3:uid="{3C6DC8F5-724A-43AC-9128-7661A96380C1}" name="Efford/Hour" dataDxfId="120">
      <calculatedColumnFormula>Tabelle4[[#This Row],[Total Storypoints ]]/Tabelle3[[#This Row],[Actual time]]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11D33B-248F-4E66-AF7C-9632EAA38DAC}" name="Tabelle27" displayName="Tabelle27" ref="A1:K12" insertRowShift="1" totalsRowShown="0" headerRowDxfId="119" dataDxfId="118">
  <autoFilter ref="A1:K12" xr:uid="{739F99A6-83FF-4FC0-82EE-54F2B8B8AE5A}"/>
  <tableColumns count="11">
    <tableColumn id="1" xr3:uid="{9C36A560-9153-4D8E-BA50-0044E74E1896}" name="Sprint Start" dataDxfId="117"/>
    <tableColumn id="2" xr3:uid="{4FAB3106-8621-41F1-B866-EA5558F083D8}" name="Sprint End" dataDxfId="116"/>
    <tableColumn id="3" xr3:uid="{2D2022CC-B165-4671-9773-4C7DCE737FC7}" name="User" dataDxfId="115"/>
    <tableColumn id="5" xr3:uid="{6D49D607-DA69-4FF5-AC26-260E9F796217}" name="ID" dataDxfId="114"/>
    <tableColumn id="6" xr3:uid="{95077F2F-115F-484E-A38C-A34A2BCBCB78}" name="Epic" dataDxfId="113"/>
    <tableColumn id="12" xr3:uid="{2EAFDE91-2C58-4973-A684-28E2E964F629}" name="User Story /Task" dataDxfId="112"/>
    <tableColumn id="11" xr3:uid="{D17AAC02-918A-4F08-B037-3622F37B62F0}" name="Estimated time" dataDxfId="111"/>
    <tableColumn id="8" xr3:uid="{4D053EE2-698A-4191-ABEB-8F0701DA4D4E}" name="COS (Criteria of Satisfaction)" dataDxfId="110"/>
    <tableColumn id="9" xr3:uid="{73BF0134-792D-4614-95FB-754C4A317665}" name="Story points" dataDxfId="109"/>
    <tableColumn id="10" xr3:uid="{2620A9CC-A288-4874-BF27-2BBE69671B14}" name="Time in Hours" dataDxfId="108"/>
    <tableColumn id="4" xr3:uid="{EEDB864F-4BEC-E84C-8BC3-11680213E110}" name="Status" dataDxfId="10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35EDC6-25C8-4AEE-8477-EE4C813DEB0C}" name="Tabelle38" displayName="Tabelle38" ref="A16:C17" totalsRowShown="0" headerRowDxfId="106" dataDxfId="105">
  <autoFilter ref="A16:C17" xr:uid="{F79F1E8C-9DFD-4482-95C6-9C23936D055B}"/>
  <tableColumns count="3">
    <tableColumn id="1" xr3:uid="{608DD481-0706-4498-AF85-EB4AD6D17A03}" name="Estimated time" dataDxfId="104">
      <calculatedColumnFormula>SUM(Tabelle27[Estimated time])</calculatedColumnFormula>
    </tableColumn>
    <tableColumn id="2" xr3:uid="{727CC20C-885F-49B6-A31D-85E6D39BFD35}" name="Actual time" dataDxfId="103">
      <calculatedColumnFormula>SUM(Tabelle27[Time in Hours])</calculatedColumnFormula>
    </tableColumn>
    <tableColumn id="3" xr3:uid="{DB626F11-D2AA-4B08-BE29-BA7526E2BE88}" name="Delta" dataDxfId="102">
      <calculatedColumnFormula>Tabelle38[[#This Row],[Estimated time]]-Tabelle38[[#This Row],[Actual time]]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D8EE75-69AD-457A-99FC-A0696238BDE6}" name="Tabelle49" displayName="Tabelle49" ref="E16:F17" totalsRowShown="0" headerRowDxfId="101" dataDxfId="100">
  <autoFilter ref="E16:F17" xr:uid="{F5FF718A-3E4E-40DD-BD72-E3ACE1B58735}"/>
  <tableColumns count="2">
    <tableColumn id="1" xr3:uid="{1F43F730-E2EB-4487-8A5C-6B0E3F4CC598}" name="Total Storypoints " dataDxfId="99">
      <calculatedColumnFormula>SUM(Tabelle27[Story points])</calculatedColumnFormula>
    </tableColumn>
    <tableColumn id="2" xr3:uid="{95E1605C-A4E2-4173-B0AE-218EC74BDEA1}" name="Effort/Hour" dataDxfId="98">
      <calculatedColumnFormula>Tabelle49[[#This Row],[Total Storypoints ]]/Tabelle38[[#This Row],[Actual time]]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303AB7F-CDC2-408B-A450-96D692A68B43}" name="Tabelle2710" displayName="Tabelle2710" ref="A1:K12" insertRowShift="1" totalsRowShown="0" headerRowDxfId="97" dataDxfId="96">
  <autoFilter ref="A1:K12" xr:uid="{739F99A6-83FF-4FC0-82EE-54F2B8B8AE5A}"/>
  <tableColumns count="11">
    <tableColumn id="1" xr3:uid="{949CA967-02A0-4249-BB07-B02F4C4F69AE}" name="Sprint Start" dataDxfId="95"/>
    <tableColumn id="2" xr3:uid="{A70AE104-D3DD-4C6E-8E50-E151404B19BD}" name="Sprint End" dataDxfId="94"/>
    <tableColumn id="3" xr3:uid="{9168C6BE-6970-4420-9D5F-DBCF1E8E2BAE}" name="User" dataDxfId="93"/>
    <tableColumn id="5" xr3:uid="{A7C4968E-9480-42FF-949B-9E41609C26A2}" name="ID" dataDxfId="92"/>
    <tableColumn id="6" xr3:uid="{8564B7DD-8DB4-4E2B-BDDB-9791D9AAA0EA}" name="Epic" dataDxfId="91"/>
    <tableColumn id="12" xr3:uid="{56FA47CB-3810-4B7F-A047-8358D5C73F6C}" name="User Story /Task" dataDxfId="90"/>
    <tableColumn id="11" xr3:uid="{988CB3AF-F268-445B-887C-5163D9AE41DF}" name="Estimated time" dataDxfId="89"/>
    <tableColumn id="8" xr3:uid="{14BDCFB4-F75D-4798-AFF3-3F8B177B78D6}" name="COS (Criteria of Satisfaction)" dataDxfId="88"/>
    <tableColumn id="9" xr3:uid="{97C18CBF-2D3F-4A8A-B36D-6328E17F31C4}" name="Story points" dataDxfId="87"/>
    <tableColumn id="10" xr3:uid="{D3E339CF-38BF-4AC1-8C80-41ECD30B6907}" name="Time in Hours" dataDxfId="86"/>
    <tableColumn id="4" xr3:uid="{3BCBC0DA-7C9B-4D2B-9269-A319CBD925C5}" name="Status" dataDxfId="8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1E761E2-D340-4C7F-A19A-AE84A76F5971}" name="Tabelle3811" displayName="Tabelle3811" ref="A16:C17" totalsRowShown="0" headerRowDxfId="84" dataDxfId="83">
  <autoFilter ref="A16:C17" xr:uid="{F79F1E8C-9DFD-4482-95C6-9C23936D055B}"/>
  <tableColumns count="3">
    <tableColumn id="1" xr3:uid="{F045D4AD-2D00-44A7-8EA7-B5C34869B26F}" name="Estimated time" dataDxfId="82">
      <calculatedColumnFormula>SUM(Tabelle2710[Estimated time])</calculatedColumnFormula>
    </tableColumn>
    <tableColumn id="2" xr3:uid="{DFDFE0A8-6207-4F3B-9D05-4D3AF083E31B}" name="Actual time" dataDxfId="81">
      <calculatedColumnFormula>SUM(Tabelle2710[Time in Hours])</calculatedColumnFormula>
    </tableColumn>
    <tableColumn id="3" xr3:uid="{2529739A-9C5E-4AE4-80A6-DFC080EFE2D8}" name="Delta" dataDxfId="80">
      <calculatedColumnFormula>Tabelle3811[[#This Row],[Estimated time]]-Tabelle3811[[#This Row],[Actual time]]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134C802-458D-4153-B0D4-D8B08E02E26A}" name="Tabelle4912" displayName="Tabelle4912" ref="E16:F17" totalsRowShown="0" headerRowDxfId="79" dataDxfId="78">
  <autoFilter ref="E16:F17" xr:uid="{F5FF718A-3E4E-40DD-BD72-E3ACE1B58735}"/>
  <tableColumns count="2">
    <tableColumn id="1" xr3:uid="{C3438C75-AD69-46E0-B1BD-0445ED469483}" name="Total Storypoints " dataDxfId="77">
      <calculatedColumnFormula>SUM(Tabelle2710[Story points])</calculatedColumnFormula>
    </tableColumn>
    <tableColumn id="2" xr3:uid="{0655740B-E1AB-4BD3-B7CA-852D4C79FC17}" name="Effort/Hour" dataDxfId="76">
      <calculatedColumnFormula>Tabelle4912[[#This Row],[Total Storypoints ]]/Tabelle3811[[#This Row],[Actual time]]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3B682F1-6F73-4656-A177-C3533051D55F}" name="Tabelle271013" displayName="Tabelle271013" ref="A1:K11" insertRowShift="1" totalsRowShown="0" headerRowDxfId="75" dataDxfId="74">
  <autoFilter ref="A1:K11" xr:uid="{D3B682F1-6F73-4656-A177-C3533051D55F}"/>
  <tableColumns count="11">
    <tableColumn id="1" xr3:uid="{946A4B14-799A-49AD-8E3E-31E3F4BBE559}" name="Sprint Start" dataDxfId="73"/>
    <tableColumn id="2" xr3:uid="{E61A962F-4EE4-4843-AF21-C647918EECAB}" name="Sprint End" dataDxfId="72"/>
    <tableColumn id="3" xr3:uid="{4EC50B40-18BD-4D00-8BE2-5596A9347BB8}" name="User" dataDxfId="71"/>
    <tableColumn id="5" xr3:uid="{2A1F175E-D14E-491C-B452-39567CF84CD6}" name="ID" dataDxfId="70"/>
    <tableColumn id="6" xr3:uid="{DCE5121F-D243-470B-B0AF-D0EE5264DD5A}" name="Epic" dataDxfId="69"/>
    <tableColumn id="12" xr3:uid="{45FDCCAE-F13D-47C1-B91E-2EF3CC9A5BA0}" name="User Story /Task" dataDxfId="68"/>
    <tableColumn id="11" xr3:uid="{4057DF12-8977-4284-BF2B-9ED3AAE7221F}" name="Estimated time" dataDxfId="67"/>
    <tableColumn id="8" xr3:uid="{08443A2E-5832-4299-8009-1F0D489DEE15}" name="COS (Criteria of Satisfaction)" dataDxfId="66"/>
    <tableColumn id="9" xr3:uid="{8777A429-C11B-4CDC-BB2F-785D0BC89DAB}" name="Story points" dataDxfId="65"/>
    <tableColumn id="10" xr3:uid="{0B18443F-D8D9-4015-8EAA-7050016E43C2}" name="Time in Hours" dataDxfId="64"/>
    <tableColumn id="4" xr3:uid="{5C5B5C91-6376-4597-B69B-4D162307C569}" name="Status" dataDxfId="6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4CE46E8-9109-463E-9929-B04F65880A6E}" name="Tabelle381114" displayName="Tabelle381114" ref="A15:C16" totalsRowShown="0" headerRowDxfId="62" dataDxfId="61">
  <autoFilter ref="A15:C16" xr:uid="{64CE46E8-9109-463E-9929-B04F65880A6E}"/>
  <tableColumns count="3">
    <tableColumn id="1" xr3:uid="{E71994D0-AB06-482B-8487-03AB7E3B1FF7}" name="Estimated time" dataDxfId="60">
      <calculatedColumnFormula>SUM(Tabelle271013[Estimated time])</calculatedColumnFormula>
    </tableColumn>
    <tableColumn id="2" xr3:uid="{E607785B-5B58-4D1E-81ED-45AAAAF488F0}" name="Actual time" dataDxfId="59">
      <calculatedColumnFormula>SUM(Tabelle271013[Time in Hours])</calculatedColumnFormula>
    </tableColumn>
    <tableColumn id="3" xr3:uid="{0197CFBA-597E-49C6-88E5-ABAC17763EA4}" name="Delta" dataDxfId="58">
      <calculatedColumnFormula>Tabelle381114[[#This Row],[Estimated time]]-Tabelle381114[[#This Row],[Actual time]]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6B5E61D-16B7-49D5-8782-AA9FAFD44E36}" name="Tabelle491215" displayName="Tabelle491215" ref="E15:F16" totalsRowShown="0" headerRowDxfId="57" dataDxfId="56">
  <autoFilter ref="E15:F16" xr:uid="{76B5E61D-16B7-49D5-8782-AA9FAFD44E36}"/>
  <tableColumns count="2">
    <tableColumn id="1" xr3:uid="{E0381C51-E5FF-4087-9146-76E105FE701A}" name="Total Storypoints " dataDxfId="55">
      <calculatedColumnFormula>SUM(Tabelle271013[Story points])</calculatedColumnFormula>
    </tableColumn>
    <tableColumn id="2" xr3:uid="{0971B46C-CFAA-4F13-88AB-CDC5655C1F84}" name="Effort/Hour" dataDxfId="54">
      <calculatedColumnFormula>Tabelle491215[[#This Row],[Total Storypoints ]]/Tabelle381114[[#This Row],[Actual time]]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35F589F-8BC0-4A3D-A02E-03E630D61504}" name="Tabelle27101316" displayName="Tabelle27101316" ref="A1:K11" insertRowShift="1" totalsRowShown="0" headerRowDxfId="53" dataDxfId="52">
  <autoFilter ref="A1:K11" xr:uid="{D3B682F1-6F73-4656-A177-C3533051D55F}"/>
  <tableColumns count="11">
    <tableColumn id="1" xr3:uid="{B7D16283-E8F5-4C03-BEC2-39D9F536B2DF}" name="Sprint Start" dataDxfId="51"/>
    <tableColumn id="2" xr3:uid="{743B7730-744D-48F9-8435-134B358D299C}" name="Sprint End" dataDxfId="50"/>
    <tableColumn id="3" xr3:uid="{6BB0BFF2-8337-4911-B853-52953695FFB8}" name="User" dataDxfId="49"/>
    <tableColumn id="5" xr3:uid="{23B9485C-C756-4653-9A7E-4CBFBC4BDCC9}" name="ID" dataDxfId="48"/>
    <tableColumn id="6" xr3:uid="{DA3B151D-2F3B-4817-810C-2B84F6D521DF}" name="Epic" dataDxfId="47"/>
    <tableColumn id="12" xr3:uid="{0B21ADB3-F002-4AC8-8EFB-36998E0BA400}" name="User Story /Task" dataDxfId="46"/>
    <tableColumn id="11" xr3:uid="{0AF7F7D2-16D8-4903-AFB0-E002FAFE9A7B}" name="Estimated time" dataDxfId="45"/>
    <tableColumn id="8" xr3:uid="{2F945FB5-B8D6-4015-9863-4264314B3D66}" name="COS (Criteria of Satisfaction)" dataDxfId="44"/>
    <tableColumn id="9" xr3:uid="{72841B6A-9C3A-4632-878E-ADBD76467B91}" name="Story points" dataDxfId="43"/>
    <tableColumn id="10" xr3:uid="{99643A57-EC89-4FC7-B6E0-CEECFE14CE6B}" name="Time in Hours" dataDxfId="42"/>
    <tableColumn id="4" xr3:uid="{D3F46A45-6C79-4B7E-9924-30DF1A278D97}" name="Status" dataDxfId="4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0805314-F662-4E1D-85A9-F2EC30EC262D}" name="Tabelle38111417" displayName="Tabelle38111417" ref="A15:C16" totalsRowShown="0" headerRowDxfId="40" dataDxfId="39">
  <autoFilter ref="A15:C16" xr:uid="{64CE46E8-9109-463E-9929-B04F65880A6E}"/>
  <tableColumns count="3">
    <tableColumn id="1" xr3:uid="{1993629C-98D2-4E46-B14A-696AAE563315}" name="Estimated time" dataDxfId="38">
      <calculatedColumnFormula>SUM(Tabelle27101316[Estimated time])</calculatedColumnFormula>
    </tableColumn>
    <tableColumn id="2" xr3:uid="{C3F5A116-86A6-4D3A-9417-88FA122B0C81}" name="Actual time" dataDxfId="37">
      <calculatedColumnFormula>SUM(Tabelle27101316[Time in Hours])</calculatedColumnFormula>
    </tableColumn>
    <tableColumn id="3" xr3:uid="{B86C31E6-5405-4B45-9B86-86A0C1DBF35C}" name="Delta" dataDxfId="36">
      <calculatedColumnFormula>Tabelle38111417[[#This Row],[Estimated time]]-Tabelle38111417[[#This Row],[Actual time]]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E78B35D-B1A7-42FC-BB42-AF310800AF69}" name="Tabelle49121518" displayName="Tabelle49121518" ref="E15:F16" totalsRowShown="0" headerRowDxfId="35" dataDxfId="34">
  <autoFilter ref="E15:F16" xr:uid="{76B5E61D-16B7-49D5-8782-AA9FAFD44E36}"/>
  <tableColumns count="2">
    <tableColumn id="1" xr3:uid="{E7934959-5DF7-4D4C-858C-1FAD310B1F3B}" name="Total Storypoints " dataDxfId="33">
      <calculatedColumnFormula>SUM(Tabelle27101316[Story points])</calculatedColumnFormula>
    </tableColumn>
    <tableColumn id="2" xr3:uid="{D7E6F4E2-872C-4E38-9126-8A958E19087E}" name="Effort/Hour" dataDxfId="32">
      <calculatedColumnFormula>Tabelle49121518[[#This Row],[Total Storypoints ]]/Tabelle38111417[[#This Row],[Actual time]]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37FAD70-20F3-4912-82B8-9AC496901DBE}" name="Tabelle2710131619" displayName="Tabelle2710131619" ref="A1:K14" insertRowShift="1" totalsRowShown="0" headerRowDxfId="31" dataDxfId="30">
  <autoFilter ref="A1:K14" xr:uid="{D3B682F1-6F73-4656-A177-C3533051D55F}"/>
  <tableColumns count="11">
    <tableColumn id="1" xr3:uid="{D532321B-43A9-4C7B-9711-0E9DB0F36080}" name="Sprint Start" dataDxfId="29"/>
    <tableColumn id="2" xr3:uid="{F9445A15-FEA9-4142-9284-D23FEC81E85A}" name="Sprint End" dataDxfId="28"/>
    <tableColumn id="3" xr3:uid="{98E29721-27A3-49D9-AB54-E3E822D61773}" name="User" dataDxfId="27"/>
    <tableColumn id="5" xr3:uid="{A6CFA86C-B64A-4D7B-988B-D7EA90AE832B}" name="ID" dataDxfId="26"/>
    <tableColumn id="6" xr3:uid="{2A363B76-0FF0-4E35-8B0D-D3DFE428B184}" name="Epic" dataDxfId="25"/>
    <tableColumn id="12" xr3:uid="{58EF9BAF-7539-44AE-B4EA-ED1E3E2C43A2}" name="User Story /Task" dataDxfId="24"/>
    <tableColumn id="11" xr3:uid="{5812FBDE-2CCF-4471-BA12-4B4E981FB0F8}" name="Estimated time" dataDxfId="23"/>
    <tableColumn id="8" xr3:uid="{9D350C75-9112-414E-B33C-95BA4ED272B4}" name="COS (Criteria of Satisfaction)" dataDxfId="22"/>
    <tableColumn id="9" xr3:uid="{79971A75-750E-427F-A5B6-5A61FA1008BB}" name="Story points" dataDxfId="21"/>
    <tableColumn id="10" xr3:uid="{F15B638A-5756-448D-BFF1-F83357264427}" name="Time in Hours" dataDxfId="20"/>
    <tableColumn id="4" xr3:uid="{5419A239-65A0-4210-A072-8D48A4908096}" name="Status" dataDxfId="1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868505A-CACE-44B2-A7EA-9FE64E58BA8A}" name="Tabelle3811141720" displayName="Tabelle3811141720" ref="A18:C19" totalsRowShown="0" headerRowDxfId="18" dataDxfId="17">
  <autoFilter ref="A18:C19" xr:uid="{64CE46E8-9109-463E-9929-B04F65880A6E}"/>
  <tableColumns count="3">
    <tableColumn id="1" xr3:uid="{3A312704-DAF9-41C4-9ED9-5DD84799E905}" name="Estimated time" dataDxfId="16">
      <calculatedColumnFormula>SUM(Tabelle2710131619[Estimated time])</calculatedColumnFormula>
    </tableColumn>
    <tableColumn id="2" xr3:uid="{72BDDA5F-E86A-4485-B7A7-C4A72345EFC4}" name="Actual time" dataDxfId="15">
      <calculatedColumnFormula>SUM(Tabelle2710131619[Time in Hours])</calculatedColumnFormula>
    </tableColumn>
    <tableColumn id="3" xr3:uid="{223E53E9-D637-4AC0-9A6C-5591B23BB953}" name="Delta" dataDxfId="14">
      <calculatedColumnFormula>Tabelle3811141720[[#This Row],[Estimated time]]-Tabelle3811141720[[#This Row],[Actual time]]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7C4B985-A6EE-4B5E-BF93-A6081AE08433}" name="Tabelle4912151821" displayName="Tabelle4912151821" ref="E18:F19" totalsRowShown="0" headerRowDxfId="13" dataDxfId="12">
  <autoFilter ref="E18:F19" xr:uid="{76B5E61D-16B7-49D5-8782-AA9FAFD44E36}"/>
  <tableColumns count="2">
    <tableColumn id="1" xr3:uid="{DC2B1F8F-41E8-42FD-87FA-7DF04FEE86E6}" name="Total Storypoints " dataDxfId="11">
      <calculatedColumnFormula>SUM(Tabelle2710131619[Story points])</calculatedColumnFormula>
    </tableColumn>
    <tableColumn id="2" xr3:uid="{913BEBDF-DC3B-496C-982F-AE7F617915B6}" name="Effort/Hour" dataDxfId="10">
      <calculatedColumnFormula>Tabelle4912151821[[#This Row],[Total Storypoints ]]/Tabelle3811141720[[#This Row],[Actual time]]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26F5F1-3CA5-4498-8D9F-A792FBE4E032}" name="Tabelle5" displayName="Tabelle5" ref="A1:H28" totalsRowShown="0" headerRowDxfId="9" dataDxfId="8">
  <autoFilter ref="A1:H28" xr:uid="{9C26F5F1-3CA5-4498-8D9F-A792FBE4E032}"/>
  <sortState xmlns:xlrd2="http://schemas.microsoft.com/office/spreadsheetml/2017/richdata2" ref="A2:H28">
    <sortCondition ref="C9:C28"/>
  </sortState>
  <tableColumns count="8">
    <tableColumn id="1" xr3:uid="{BC6E6F54-B9E2-4D1B-BB78-E6F30265832D}" name="Story ID" dataDxfId="7"/>
    <tableColumn id="2" xr3:uid="{5BD6C059-22C9-4C4A-90A3-74736AC1F83D}" name="Title" dataDxfId="6"/>
    <tableColumn id="3" xr3:uid="{F3A7207B-9229-4096-9A5B-C4FB1EDD5455}" name="Priority" dataDxfId="5"/>
    <tableColumn id="4" xr3:uid="{E38B598E-699A-460C-AB30-1E65BB7404BF}" name="Story" dataDxfId="4"/>
    <tableColumn id="8" xr3:uid="{57E495A5-904B-1740-A858-653ACCE96658}" name="Acceptance Criteria" dataDxfId="3"/>
    <tableColumn id="5" xr3:uid="{5087B805-D2DF-49C7-9936-ECACDF516D64}" name="Status" dataDxfId="2"/>
    <tableColumn id="6" xr3:uid="{05DFD049-144E-4717-9B70-2B02AA12CC20}" name="Story Points" dataDxfId="1"/>
    <tableColumn id="7" xr3:uid="{98F7F45D-928E-4B6F-868A-18B3899C12B6}" name="Spri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1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E37C-43EC-4C4E-87EE-1ED050478924}">
  <sheetPr>
    <tabColor theme="3" tint="0.499984740745262"/>
  </sheetPr>
  <dimension ref="A1:H17"/>
  <sheetViews>
    <sheetView zoomScale="85" zoomScaleNormal="85" workbookViewId="0">
      <selection activeCell="D17" sqref="D17"/>
    </sheetView>
  </sheetViews>
  <sheetFormatPr baseColWidth="10" defaultRowHeight="15" x14ac:dyDescent="0.2"/>
  <cols>
    <col min="1" max="1" width="11.1640625" bestFit="1" customWidth="1"/>
    <col min="2" max="2" width="37.83203125" bestFit="1" customWidth="1"/>
    <col min="3" max="3" width="23.83203125" bestFit="1" customWidth="1"/>
    <col min="4" max="4" width="19.1640625" bestFit="1" customWidth="1"/>
    <col min="5" max="5" width="36.1640625" bestFit="1" customWidth="1"/>
    <col min="6" max="6" width="13.5" bestFit="1" customWidth="1"/>
    <col min="7" max="7" width="24.1640625" bestFit="1" customWidth="1"/>
    <col min="8" max="8" width="22.83203125" bestFit="1" customWidth="1"/>
    <col min="9" max="9" width="22.5" bestFit="1" customWidth="1"/>
  </cols>
  <sheetData>
    <row r="1" spans="1:8" ht="22" x14ac:dyDescent="0.3">
      <c r="A1" s="6" t="s">
        <v>4</v>
      </c>
      <c r="B1" s="6" t="s">
        <v>0</v>
      </c>
      <c r="C1" s="6" t="s">
        <v>62</v>
      </c>
      <c r="D1" s="6" t="s">
        <v>63</v>
      </c>
      <c r="E1" s="6" t="s">
        <v>64</v>
      </c>
      <c r="F1" s="6" t="s">
        <v>65</v>
      </c>
      <c r="G1" s="6" t="s">
        <v>66</v>
      </c>
      <c r="H1" s="6" t="s">
        <v>67</v>
      </c>
    </row>
    <row r="2" spans="1:8" ht="22" x14ac:dyDescent="0.3">
      <c r="A2" s="7" t="s">
        <v>69</v>
      </c>
      <c r="B2" s="7" t="s">
        <v>81</v>
      </c>
      <c r="C2" s="7" cm="1">
        <f t="array" ref="C2">Tabelle3[Estimated time]</f>
        <v>13</v>
      </c>
      <c r="D2" s="7" cm="1">
        <f t="array" ref="D2">Tabelle3[Actual time]</f>
        <v>17</v>
      </c>
      <c r="E2" s="7" cm="1">
        <f t="array" ref="E2">Tabelle4[[Total Storypoints ]]</f>
        <v>0</v>
      </c>
      <c r="F2" s="7">
        <f>Tabelle1[[#This Row],[Accomplished Story Points]]/Tabelle1[[#This Row],[Actual Hours]]</f>
        <v>0</v>
      </c>
      <c r="G2" s="7">
        <v>146</v>
      </c>
      <c r="H2" s="7">
        <f>Tabelle1[[#This Row],[Total Storypoints]]-Tabelle1[[#This Row],[Accomplished Story Points]]</f>
        <v>146</v>
      </c>
    </row>
    <row r="3" spans="1:8" ht="22" x14ac:dyDescent="0.3">
      <c r="A3" s="7" t="s">
        <v>70</v>
      </c>
      <c r="B3" s="7" t="s">
        <v>111</v>
      </c>
      <c r="C3" s="7" cm="1">
        <f t="array" ref="C3">Tabelle38[Estimated time]</f>
        <v>42</v>
      </c>
      <c r="D3" s="7" cm="1">
        <f t="array" ref="D3">Tabelle38[Actual time]</f>
        <v>34</v>
      </c>
      <c r="E3" s="7" cm="1">
        <f t="array" ref="E3">Tabelle49[[Total Storypoints ]]</f>
        <v>24</v>
      </c>
      <c r="F3" s="7">
        <f>Tabelle1[[#This Row],[Accomplished Story Points]]/Tabelle1[[#This Row],[Actual Hours]]</f>
        <v>0.70588235294117652</v>
      </c>
      <c r="G3" s="7">
        <v>146</v>
      </c>
      <c r="H3" s="7">
        <f>Tabelle1[[#This Row],[Total Storypoints]]-Tabelle1[[#This Row],[Accomplished Story Points]]</f>
        <v>122</v>
      </c>
    </row>
    <row r="4" spans="1:8" ht="22" x14ac:dyDescent="0.3">
      <c r="A4" s="7" t="s">
        <v>71</v>
      </c>
      <c r="B4" s="7" t="s">
        <v>13</v>
      </c>
      <c r="C4" s="7" cm="1">
        <f t="array" ref="C4">Tabelle3811[Estimated time]</f>
        <v>9</v>
      </c>
      <c r="D4" s="7" cm="1">
        <f t="array" ref="D4">Tabelle3811[Actual time]</f>
        <v>10</v>
      </c>
      <c r="E4" s="7" cm="1">
        <f t="array" ref="E4">Tabelle4912[[Total Storypoints ]]</f>
        <v>10</v>
      </c>
      <c r="F4" s="7">
        <f>Tabelle1[[#This Row],[Accomplished Story Points]]/Tabelle1[[#This Row],[Actual Hours]]</f>
        <v>1</v>
      </c>
      <c r="G4" s="7">
        <f>H3</f>
        <v>122</v>
      </c>
      <c r="H4" s="7">
        <f>Tabelle1[[#This Row],[Total Storypoints]]-Tabelle1[[#This Row],[Accomplished Story Points]]</f>
        <v>112</v>
      </c>
    </row>
    <row r="5" spans="1:8" ht="22" x14ac:dyDescent="0.3">
      <c r="A5" s="7" t="s">
        <v>72</v>
      </c>
      <c r="B5" s="7" t="s">
        <v>135</v>
      </c>
      <c r="C5" s="7" cm="1">
        <f t="array" ref="C5">Tabelle381114[Estimated time]</f>
        <v>22</v>
      </c>
      <c r="D5" s="7" cm="1">
        <f t="array" ref="D5">Tabelle381114[Actual time]</f>
        <v>24</v>
      </c>
      <c r="E5" s="7" cm="1">
        <f t="array" ref="E5">Tabelle491215[[Total Storypoints ]]</f>
        <v>39</v>
      </c>
      <c r="F5" s="7">
        <f>Tabelle1[[#This Row],[Accomplished Story Points]]/Tabelle1[[#This Row],[Actual Hours]]</f>
        <v>1.625</v>
      </c>
      <c r="G5" s="7">
        <f>H4</f>
        <v>112</v>
      </c>
      <c r="H5" s="7">
        <f>Tabelle1[[#This Row],[Total Storypoints]]-Tabelle1[[#This Row],[Accomplished Story Points]]</f>
        <v>73</v>
      </c>
    </row>
    <row r="6" spans="1:8" ht="22" x14ac:dyDescent="0.3">
      <c r="A6" s="7" t="s">
        <v>73</v>
      </c>
      <c r="B6" s="7" t="s">
        <v>160</v>
      </c>
      <c r="C6" s="7" cm="1">
        <f t="array" ref="C6">Tabelle38111417[Estimated time]</f>
        <v>17</v>
      </c>
      <c r="D6" s="7" cm="1">
        <f t="array" ref="D6">Tabelle38111417[Actual time]</f>
        <v>16</v>
      </c>
      <c r="E6" s="7" cm="1">
        <f t="array" ref="E6">Tabelle49121518[[Total Storypoints ]]</f>
        <v>21</v>
      </c>
      <c r="F6" s="7">
        <f>Tabelle1[[#This Row],[Accomplished Story Points]]/Tabelle1[[#This Row],[Actual Hours]]</f>
        <v>1.3125</v>
      </c>
      <c r="G6" s="7">
        <f>H5</f>
        <v>73</v>
      </c>
      <c r="H6" s="7">
        <f>C13</f>
        <v>52</v>
      </c>
    </row>
    <row r="7" spans="1:8" ht="22" x14ac:dyDescent="0.3">
      <c r="A7" s="7" t="s">
        <v>74</v>
      </c>
      <c r="B7" s="7"/>
      <c r="C7" s="7"/>
      <c r="D7" s="7"/>
      <c r="E7" s="7"/>
      <c r="F7" s="7"/>
      <c r="G7" s="7"/>
      <c r="H7" s="7"/>
    </row>
    <row r="8" spans="1:8" ht="22" x14ac:dyDescent="0.3">
      <c r="A8" s="7" t="s">
        <v>75</v>
      </c>
      <c r="B8" s="7"/>
      <c r="C8" s="7"/>
      <c r="D8" s="7"/>
      <c r="E8" s="7"/>
      <c r="F8" s="7"/>
      <c r="G8" s="7"/>
      <c r="H8" s="7"/>
    </row>
    <row r="12" spans="1:8" ht="24" x14ac:dyDescent="0.3">
      <c r="B12" s="1" t="s">
        <v>76</v>
      </c>
      <c r="C12" s="5">
        <v>146</v>
      </c>
    </row>
    <row r="13" spans="1:8" ht="24" x14ac:dyDescent="0.3">
      <c r="B13" s="1" t="s">
        <v>117</v>
      </c>
      <c r="C13" s="5">
        <f>C12-SUM(Tabelle1[Accomplished Story Points])</f>
        <v>52</v>
      </c>
    </row>
    <row r="14" spans="1:8" ht="24" x14ac:dyDescent="0.3">
      <c r="B14" s="1" t="s">
        <v>80</v>
      </c>
      <c r="C14" s="5">
        <f>COUNTIF(Tabelle1[Sprint],"*Sprint*")</f>
        <v>7</v>
      </c>
    </row>
    <row r="15" spans="1:8" ht="24" x14ac:dyDescent="0.3">
      <c r="B15" s="1" t="s">
        <v>77</v>
      </c>
      <c r="C15" s="5">
        <f>AVERAGE(Tabelle1[Velocity])</f>
        <v>0.92867647058823533</v>
      </c>
    </row>
    <row r="16" spans="1:8" ht="24" x14ac:dyDescent="0.3">
      <c r="B16" s="1" t="s">
        <v>78</v>
      </c>
      <c r="C16" s="14">
        <f>(SUM(Tabelle1[Accomplished Story Points],)/G2)</f>
        <v>0.64383561643835618</v>
      </c>
    </row>
    <row r="17" spans="2:4" ht="24" x14ac:dyDescent="0.3">
      <c r="B17" s="1" t="s">
        <v>68</v>
      </c>
      <c r="C17" s="18">
        <f>C13/C15</f>
        <v>55.993665874901026</v>
      </c>
      <c r="D17">
        <f>C17/4</f>
        <v>13.998416468725257</v>
      </c>
    </row>
  </sheetData>
  <phoneticPr fontId="2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CD9D-70AE-44DD-9C82-08638998B9B7}">
  <sheetPr>
    <tabColor theme="0"/>
  </sheetPr>
  <dimension ref="A1:J16"/>
  <sheetViews>
    <sheetView zoomScale="85" zoomScaleNormal="85" workbookViewId="0">
      <selection activeCell="H13" sqref="H13"/>
    </sheetView>
  </sheetViews>
  <sheetFormatPr baseColWidth="10" defaultRowHeight="15" x14ac:dyDescent="0.2"/>
  <cols>
    <col min="1" max="1" width="19.6640625" bestFit="1" customWidth="1"/>
    <col min="2" max="2" width="15.83203125" bestFit="1" customWidth="1"/>
    <col min="3" max="3" width="9.33203125" bestFit="1" customWidth="1"/>
    <col min="4" max="4" width="6.83203125" bestFit="1" customWidth="1"/>
    <col min="5" max="5" width="33.83203125" bestFit="1" customWidth="1"/>
    <col min="6" max="6" width="27.5" bestFit="1" customWidth="1"/>
    <col min="7" max="7" width="19.6640625" bestFit="1" customWidth="1"/>
    <col min="8" max="8" width="95.33203125" bestFit="1" customWidth="1"/>
    <col min="9" max="9" width="16.33203125" bestFit="1" customWidth="1"/>
    <col min="10" max="10" width="18.1640625" bestFit="1" customWidth="1"/>
  </cols>
  <sheetData>
    <row r="1" spans="1:10" ht="19" x14ac:dyDescent="0.25">
      <c r="A1" s="8" t="s">
        <v>82</v>
      </c>
      <c r="B1" s="8" t="s">
        <v>83</v>
      </c>
      <c r="C1" s="8" t="s">
        <v>84</v>
      </c>
      <c r="D1" s="8" t="s">
        <v>85</v>
      </c>
      <c r="E1" s="8" t="s">
        <v>96</v>
      </c>
      <c r="F1" s="8" t="s">
        <v>95</v>
      </c>
      <c r="G1" s="8" t="s">
        <v>92</v>
      </c>
      <c r="H1" s="8" t="s">
        <v>88</v>
      </c>
      <c r="I1" s="8" t="s">
        <v>86</v>
      </c>
      <c r="J1" s="8" t="s">
        <v>87</v>
      </c>
    </row>
    <row r="2" spans="1:10" ht="19" x14ac:dyDescent="0.25">
      <c r="A2" s="9">
        <v>45925</v>
      </c>
      <c r="B2" s="9">
        <v>45932</v>
      </c>
      <c r="C2" s="8" t="s">
        <v>89</v>
      </c>
      <c r="D2" s="10"/>
      <c r="E2" s="8" t="s">
        <v>81</v>
      </c>
      <c r="F2" s="11" t="s">
        <v>98</v>
      </c>
      <c r="G2" s="8">
        <v>2</v>
      </c>
      <c r="H2" s="8" t="s">
        <v>97</v>
      </c>
      <c r="I2" s="10" t="s">
        <v>90</v>
      </c>
      <c r="J2" s="8">
        <v>2</v>
      </c>
    </row>
    <row r="3" spans="1:10" ht="19" x14ac:dyDescent="0.25">
      <c r="A3" s="8"/>
      <c r="B3" s="8"/>
      <c r="C3" s="8" t="s">
        <v>89</v>
      </c>
      <c r="D3" s="8"/>
      <c r="E3" s="8"/>
      <c r="F3" s="8" t="s">
        <v>99</v>
      </c>
      <c r="G3" s="8">
        <v>4</v>
      </c>
      <c r="H3" s="8" t="s">
        <v>91</v>
      </c>
      <c r="I3" s="8"/>
      <c r="J3" s="8">
        <v>4</v>
      </c>
    </row>
    <row r="4" spans="1:10" ht="19" x14ac:dyDescent="0.25">
      <c r="A4" s="8"/>
      <c r="B4" s="8"/>
      <c r="C4" s="8" t="s">
        <v>89</v>
      </c>
      <c r="D4" s="8"/>
      <c r="E4" s="8"/>
      <c r="F4" s="8" t="s">
        <v>100</v>
      </c>
      <c r="G4" s="8">
        <v>1</v>
      </c>
      <c r="H4" s="8"/>
      <c r="I4" s="8"/>
      <c r="J4" s="8">
        <v>3</v>
      </c>
    </row>
    <row r="5" spans="1:10" ht="19" x14ac:dyDescent="0.25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19" x14ac:dyDescent="0.25">
      <c r="A6" s="8"/>
      <c r="B6" s="8"/>
      <c r="C6" s="8" t="s">
        <v>89</v>
      </c>
      <c r="D6" s="8" t="s">
        <v>5</v>
      </c>
      <c r="E6" s="8" t="s">
        <v>103</v>
      </c>
      <c r="F6" s="8" t="s">
        <v>104</v>
      </c>
      <c r="G6" s="8">
        <v>2</v>
      </c>
      <c r="H6" s="8" t="s">
        <v>106</v>
      </c>
      <c r="I6" s="8">
        <v>0</v>
      </c>
      <c r="J6" s="8">
        <v>2</v>
      </c>
    </row>
    <row r="7" spans="1:10" ht="19" x14ac:dyDescent="0.25">
      <c r="A7" s="8"/>
      <c r="B7" s="8"/>
      <c r="C7" s="8" t="s">
        <v>89</v>
      </c>
      <c r="D7" s="8" t="s">
        <v>5</v>
      </c>
      <c r="E7" s="8" t="s">
        <v>103</v>
      </c>
      <c r="F7" s="8" t="s">
        <v>105</v>
      </c>
      <c r="G7" s="8">
        <v>3</v>
      </c>
      <c r="H7" s="8" t="s">
        <v>107</v>
      </c>
      <c r="I7" s="8"/>
      <c r="J7" s="8">
        <v>5</v>
      </c>
    </row>
    <row r="8" spans="1:10" ht="19" x14ac:dyDescent="0.25">
      <c r="A8" s="8"/>
      <c r="B8" s="8"/>
      <c r="C8" s="8" t="s">
        <v>89</v>
      </c>
      <c r="D8" s="8" t="s">
        <v>5</v>
      </c>
      <c r="E8" s="8" t="s">
        <v>103</v>
      </c>
      <c r="F8" s="8" t="s">
        <v>108</v>
      </c>
      <c r="G8" s="8">
        <v>1</v>
      </c>
      <c r="H8" s="8"/>
      <c r="I8" s="8"/>
      <c r="J8" s="8">
        <v>1</v>
      </c>
    </row>
    <row r="9" spans="1:10" ht="19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ht="19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ht="19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9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9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19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19" x14ac:dyDescent="0.25">
      <c r="A15" s="13" t="s">
        <v>92</v>
      </c>
      <c r="B15" s="13" t="s">
        <v>93</v>
      </c>
      <c r="C15" s="13" t="s">
        <v>94</v>
      </c>
      <c r="D15" s="8"/>
      <c r="E15" s="13" t="s">
        <v>101</v>
      </c>
      <c r="F15" s="13" t="s">
        <v>102</v>
      </c>
      <c r="G15" s="8"/>
      <c r="H15" s="8"/>
      <c r="I15" s="8"/>
      <c r="J15" s="8"/>
    </row>
    <row r="16" spans="1:10" ht="19" x14ac:dyDescent="0.25">
      <c r="A16" s="12">
        <f>SUM(Tabelle2[Estimated time])</f>
        <v>13</v>
      </c>
      <c r="B16" s="12">
        <f>SUM(Tabelle2[Time in Hours])</f>
        <v>17</v>
      </c>
      <c r="C16" s="12">
        <f>Tabelle3[[#This Row],[Estimated time]]-Tabelle3[[#This Row],[Actual time]]</f>
        <v>-4</v>
      </c>
      <c r="D16" s="8"/>
      <c r="E16" s="12">
        <f>SUM(Tabelle2[Story points])</f>
        <v>0</v>
      </c>
      <c r="F16" s="12">
        <f>Tabelle4[[#This Row],[Total Storypoints ]]/Tabelle3[[#This Row],[Actual time]]</f>
        <v>0</v>
      </c>
      <c r="G16" s="8"/>
      <c r="H16" s="8"/>
      <c r="I16" s="8"/>
      <c r="J16" s="8"/>
    </row>
  </sheetData>
  <pageMargins left="0.7" right="0.7" top="0.78740157499999996" bottom="0.78740157499999996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5E51-A006-46BC-8B15-C0222E7D47D2}">
  <sheetPr>
    <tabColor theme="0"/>
  </sheetPr>
  <dimension ref="A1:K17"/>
  <sheetViews>
    <sheetView zoomScale="85" zoomScaleNormal="85" workbookViewId="0">
      <selection activeCell="I14" sqref="I14"/>
    </sheetView>
  </sheetViews>
  <sheetFormatPr baseColWidth="10" defaultRowHeight="15" x14ac:dyDescent="0.2"/>
  <cols>
    <col min="1" max="1" width="19.33203125" bestFit="1" customWidth="1"/>
    <col min="2" max="2" width="15.5" bestFit="1" customWidth="1"/>
    <col min="3" max="3" width="9.33203125" bestFit="1" customWidth="1"/>
    <col min="4" max="4" width="7.83203125" bestFit="1" customWidth="1"/>
    <col min="5" max="5" width="21" bestFit="1" customWidth="1"/>
    <col min="6" max="6" width="124.33203125" bestFit="1" customWidth="1"/>
    <col min="7" max="7" width="19.33203125" bestFit="1" customWidth="1"/>
    <col min="8" max="8" width="164.1640625" bestFit="1" customWidth="1"/>
    <col min="9" max="9" width="15.6640625" bestFit="1" customWidth="1"/>
    <col min="10" max="10" width="17.5" bestFit="1" customWidth="1"/>
    <col min="11" max="11" width="22" customWidth="1"/>
  </cols>
  <sheetData>
    <row r="1" spans="1:11" ht="19" x14ac:dyDescent="0.25">
      <c r="A1" s="8" t="s">
        <v>82</v>
      </c>
      <c r="B1" s="8" t="s">
        <v>83</v>
      </c>
      <c r="C1" s="8" t="s">
        <v>84</v>
      </c>
      <c r="D1" s="8" t="s">
        <v>85</v>
      </c>
      <c r="E1" s="8" t="s">
        <v>96</v>
      </c>
      <c r="F1" s="8" t="s">
        <v>95</v>
      </c>
      <c r="G1" s="8" t="s">
        <v>92</v>
      </c>
      <c r="H1" s="8" t="s">
        <v>88</v>
      </c>
      <c r="I1" s="8" t="s">
        <v>86</v>
      </c>
      <c r="J1" s="8" t="s">
        <v>87</v>
      </c>
      <c r="K1" s="8" t="s">
        <v>3</v>
      </c>
    </row>
    <row r="2" spans="1:11" ht="19" x14ac:dyDescent="0.25">
      <c r="A2" s="9">
        <v>45939</v>
      </c>
      <c r="B2" s="9">
        <v>45953</v>
      </c>
      <c r="C2" s="8" t="s">
        <v>89</v>
      </c>
      <c r="D2" s="8" t="s">
        <v>5</v>
      </c>
      <c r="E2" s="8" t="s">
        <v>103</v>
      </c>
      <c r="F2" s="8" t="s">
        <v>105</v>
      </c>
      <c r="G2" s="8">
        <v>2</v>
      </c>
      <c r="H2" s="8" t="s">
        <v>112</v>
      </c>
      <c r="I2" s="10">
        <v>5</v>
      </c>
      <c r="J2" s="8">
        <v>2</v>
      </c>
      <c r="K2" s="19" t="s">
        <v>120</v>
      </c>
    </row>
    <row r="3" spans="1:11" ht="19" x14ac:dyDescent="0.25">
      <c r="A3" s="8"/>
      <c r="B3" s="8"/>
      <c r="C3" s="8" t="s">
        <v>89</v>
      </c>
      <c r="D3" s="10" t="s">
        <v>90</v>
      </c>
      <c r="E3" s="8" t="s">
        <v>113</v>
      </c>
      <c r="F3" s="10" t="s">
        <v>90</v>
      </c>
      <c r="G3" s="8">
        <v>1</v>
      </c>
      <c r="H3" s="8" t="s">
        <v>114</v>
      </c>
      <c r="I3" s="8"/>
      <c r="J3" s="8">
        <v>1</v>
      </c>
      <c r="K3" s="19" t="s">
        <v>120</v>
      </c>
    </row>
    <row r="4" spans="1:11" ht="19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19"/>
    </row>
    <row r="5" spans="1:11" ht="19" x14ac:dyDescent="0.25">
      <c r="A5" s="8"/>
      <c r="B5" s="8"/>
      <c r="C5" s="8" t="s">
        <v>89</v>
      </c>
      <c r="D5" s="8" t="s">
        <v>10</v>
      </c>
      <c r="E5" s="8" t="s">
        <v>11</v>
      </c>
      <c r="F5" s="8" t="s">
        <v>115</v>
      </c>
      <c r="G5" s="8">
        <v>5</v>
      </c>
      <c r="H5" s="8" t="s">
        <v>116</v>
      </c>
      <c r="I5" s="8">
        <v>8</v>
      </c>
      <c r="J5" s="8">
        <v>6</v>
      </c>
      <c r="K5" s="19"/>
    </row>
    <row r="6" spans="1:11" ht="19" x14ac:dyDescent="0.25">
      <c r="A6" s="8"/>
      <c r="B6" s="8"/>
      <c r="C6" s="8" t="s">
        <v>89</v>
      </c>
      <c r="D6" s="8" t="s">
        <v>12</v>
      </c>
      <c r="E6" s="8" t="s">
        <v>13</v>
      </c>
      <c r="F6" s="8" t="s">
        <v>118</v>
      </c>
      <c r="G6" s="8">
        <v>4</v>
      </c>
      <c r="H6" s="8" t="s">
        <v>119</v>
      </c>
      <c r="I6" s="8">
        <v>5</v>
      </c>
      <c r="J6" s="8"/>
      <c r="K6" s="19" t="s">
        <v>120</v>
      </c>
    </row>
    <row r="7" spans="1:11" ht="19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19"/>
    </row>
    <row r="8" spans="1:11" ht="19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19"/>
    </row>
    <row r="9" spans="1:11" ht="19" x14ac:dyDescent="0.25">
      <c r="A9" s="8"/>
      <c r="B9" s="8"/>
      <c r="C9" s="8" t="s">
        <v>122</v>
      </c>
      <c r="D9" s="8" t="s">
        <v>49</v>
      </c>
      <c r="E9" s="8" t="s">
        <v>50</v>
      </c>
      <c r="F9" s="8" t="s">
        <v>124</v>
      </c>
      <c r="G9" s="8">
        <v>10</v>
      </c>
      <c r="H9" s="8" t="s">
        <v>125</v>
      </c>
      <c r="I9" s="8">
        <v>3</v>
      </c>
      <c r="J9" s="8">
        <v>15</v>
      </c>
      <c r="K9" s="19" t="s">
        <v>120</v>
      </c>
    </row>
    <row r="10" spans="1:11" ht="19" x14ac:dyDescent="0.25">
      <c r="A10" s="8"/>
      <c r="B10" s="8"/>
      <c r="C10" s="8" t="s">
        <v>122</v>
      </c>
      <c r="D10" s="8" t="s">
        <v>49</v>
      </c>
      <c r="E10" s="8" t="s">
        <v>50</v>
      </c>
      <c r="F10" s="8" t="s">
        <v>126</v>
      </c>
      <c r="G10" s="8">
        <v>15</v>
      </c>
      <c r="H10" s="8" t="s">
        <v>127</v>
      </c>
      <c r="I10" s="8">
        <v>3</v>
      </c>
      <c r="J10" s="8">
        <v>10</v>
      </c>
      <c r="K10" s="19" t="s">
        <v>120</v>
      </c>
    </row>
    <row r="11" spans="1:11" ht="19" x14ac:dyDescent="0.25">
      <c r="A11" s="8"/>
      <c r="B11" s="8"/>
      <c r="C11" s="8" t="s">
        <v>122</v>
      </c>
      <c r="D11" s="8" t="s">
        <v>49</v>
      </c>
      <c r="E11" s="8" t="s">
        <v>50</v>
      </c>
      <c r="F11" s="8" t="s">
        <v>128</v>
      </c>
      <c r="G11" s="8">
        <v>5</v>
      </c>
      <c r="H11" s="8" t="s">
        <v>129</v>
      </c>
      <c r="I11" s="8"/>
      <c r="J11" s="8"/>
      <c r="K11" s="19" t="s">
        <v>130</v>
      </c>
    </row>
    <row r="12" spans="1:11" ht="19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19"/>
    </row>
    <row r="13" spans="1:11" ht="19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1" ht="19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1" ht="19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1" ht="19" x14ac:dyDescent="0.25">
      <c r="A16" s="13" t="s">
        <v>92</v>
      </c>
      <c r="B16" s="13" t="s">
        <v>93</v>
      </c>
      <c r="C16" s="13" t="s">
        <v>94</v>
      </c>
      <c r="D16" s="8"/>
      <c r="E16" s="13" t="s">
        <v>101</v>
      </c>
      <c r="F16" s="13" t="s">
        <v>123</v>
      </c>
      <c r="G16" s="8"/>
      <c r="H16" s="8"/>
      <c r="I16" s="8"/>
      <c r="J16" s="8"/>
    </row>
    <row r="17" spans="1:10" ht="19" x14ac:dyDescent="0.25">
      <c r="A17" s="12">
        <f>SUM(Tabelle27[Estimated time])</f>
        <v>42</v>
      </c>
      <c r="B17" s="12">
        <f>SUM(Tabelle27[Time in Hours])</f>
        <v>34</v>
      </c>
      <c r="C17" s="12">
        <f>Tabelle38[[#This Row],[Estimated time]]-Tabelle38[[#This Row],[Actual time]]</f>
        <v>8</v>
      </c>
      <c r="D17" s="8"/>
      <c r="E17" s="12">
        <f>SUM(Tabelle27[Story points])</f>
        <v>24</v>
      </c>
      <c r="F17" s="12">
        <f>Tabelle49[[#This Row],[Total Storypoints ]]/Tabelle38[[#This Row],[Actual time]]</f>
        <v>0.70588235294117652</v>
      </c>
      <c r="G17" s="8"/>
      <c r="H17" s="8"/>
      <c r="I17" s="8"/>
      <c r="J17" s="8"/>
    </row>
  </sheetData>
  <pageMargins left="0.7" right="0.7" top="0.78740157499999996" bottom="0.78740157499999996" header="0.3" footer="0.3"/>
  <pageSetup paperSize="9" orientation="portrait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7EA60-D88B-4605-AB26-1D6E6A658B46}">
  <sheetPr>
    <tabColor theme="0"/>
  </sheetPr>
  <dimension ref="A1:K17"/>
  <sheetViews>
    <sheetView zoomScale="85" zoomScaleNormal="85" workbookViewId="0">
      <selection activeCell="F36" sqref="F36"/>
    </sheetView>
  </sheetViews>
  <sheetFormatPr baseColWidth="10" defaultRowHeight="15" x14ac:dyDescent="0.2"/>
  <cols>
    <col min="1" max="1" width="19.33203125" bestFit="1" customWidth="1"/>
    <col min="2" max="2" width="15.5" bestFit="1" customWidth="1"/>
    <col min="3" max="3" width="9.33203125" bestFit="1" customWidth="1"/>
    <col min="4" max="4" width="7.83203125" bestFit="1" customWidth="1"/>
    <col min="5" max="5" width="21" bestFit="1" customWidth="1"/>
    <col min="6" max="6" width="124.33203125" bestFit="1" customWidth="1"/>
    <col min="7" max="7" width="19.33203125" bestFit="1" customWidth="1"/>
    <col min="8" max="8" width="164.1640625" bestFit="1" customWidth="1"/>
    <col min="9" max="9" width="15.6640625" bestFit="1" customWidth="1"/>
    <col min="10" max="10" width="17.5" bestFit="1" customWidth="1"/>
    <col min="11" max="11" width="22" customWidth="1"/>
  </cols>
  <sheetData>
    <row r="1" spans="1:11" ht="19" x14ac:dyDescent="0.25">
      <c r="A1" s="8" t="s">
        <v>82</v>
      </c>
      <c r="B1" s="8" t="s">
        <v>83</v>
      </c>
      <c r="C1" s="8" t="s">
        <v>84</v>
      </c>
      <c r="D1" s="8" t="s">
        <v>85</v>
      </c>
      <c r="E1" s="8" t="s">
        <v>96</v>
      </c>
      <c r="F1" s="8" t="s">
        <v>95</v>
      </c>
      <c r="G1" s="8" t="s">
        <v>92</v>
      </c>
      <c r="H1" s="8" t="s">
        <v>88</v>
      </c>
      <c r="I1" s="8" t="s">
        <v>86</v>
      </c>
      <c r="J1" s="8" t="s">
        <v>87</v>
      </c>
      <c r="K1" s="8" t="s">
        <v>3</v>
      </c>
    </row>
    <row r="2" spans="1:11" ht="19" x14ac:dyDescent="0.25">
      <c r="A2" s="9">
        <v>45953</v>
      </c>
      <c r="B2" s="9">
        <v>45967</v>
      </c>
      <c r="C2" s="8"/>
      <c r="D2" s="8"/>
      <c r="E2" s="8"/>
      <c r="F2" s="8"/>
      <c r="G2" s="8"/>
      <c r="H2" s="8"/>
      <c r="I2" s="10"/>
      <c r="J2" s="8"/>
      <c r="K2" s="19"/>
    </row>
    <row r="3" spans="1:11" ht="19" x14ac:dyDescent="0.25">
      <c r="A3" s="8"/>
      <c r="B3" s="8"/>
      <c r="C3" s="8" t="s">
        <v>89</v>
      </c>
      <c r="D3" s="10" t="s">
        <v>131</v>
      </c>
      <c r="E3" s="8" t="s">
        <v>13</v>
      </c>
      <c r="F3" s="10" t="s">
        <v>16</v>
      </c>
      <c r="G3" s="8">
        <v>5</v>
      </c>
      <c r="H3" s="10" t="s">
        <v>132</v>
      </c>
      <c r="I3" s="8">
        <v>3</v>
      </c>
      <c r="J3" s="8">
        <v>6</v>
      </c>
      <c r="K3" s="19" t="s">
        <v>120</v>
      </c>
    </row>
    <row r="4" spans="1:11" ht="19" x14ac:dyDescent="0.25">
      <c r="A4" s="8"/>
      <c r="B4" s="8"/>
      <c r="C4" s="8" t="s">
        <v>89</v>
      </c>
      <c r="D4" s="8" t="s">
        <v>32</v>
      </c>
      <c r="E4" s="8" t="s">
        <v>33</v>
      </c>
      <c r="F4" s="8" t="s">
        <v>34</v>
      </c>
      <c r="G4" s="8">
        <v>4</v>
      </c>
      <c r="H4" s="8" t="s">
        <v>137</v>
      </c>
      <c r="I4" s="8">
        <v>7</v>
      </c>
      <c r="J4" s="8">
        <v>4</v>
      </c>
      <c r="K4" s="19" t="s">
        <v>120</v>
      </c>
    </row>
    <row r="5" spans="1:11" ht="19" x14ac:dyDescent="0.25">
      <c r="A5" s="8"/>
      <c r="B5" s="8"/>
      <c r="C5" s="8"/>
      <c r="D5" s="8"/>
      <c r="E5" s="8"/>
      <c r="F5" s="2"/>
      <c r="G5" s="8"/>
      <c r="H5" s="8"/>
      <c r="I5" s="8"/>
      <c r="J5" s="8"/>
      <c r="K5" s="19"/>
    </row>
    <row r="6" spans="1:11" ht="19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19"/>
    </row>
    <row r="7" spans="1:11" ht="19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19"/>
    </row>
    <row r="8" spans="1:11" ht="19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19"/>
    </row>
    <row r="9" spans="1:11" ht="19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19"/>
    </row>
    <row r="10" spans="1:11" ht="19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19"/>
    </row>
    <row r="11" spans="1:11" ht="19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19"/>
    </row>
    <row r="12" spans="1:11" ht="19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19"/>
    </row>
    <row r="13" spans="1:11" ht="19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1" ht="19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1" ht="19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1" ht="19" x14ac:dyDescent="0.25">
      <c r="A16" s="13" t="s">
        <v>92</v>
      </c>
      <c r="B16" s="13" t="s">
        <v>93</v>
      </c>
      <c r="C16" s="13" t="s">
        <v>94</v>
      </c>
      <c r="D16" s="8"/>
      <c r="E16" s="13" t="s">
        <v>101</v>
      </c>
      <c r="F16" s="13" t="s">
        <v>123</v>
      </c>
      <c r="G16" s="8"/>
      <c r="H16" s="8"/>
      <c r="I16" s="8"/>
      <c r="J16" s="8"/>
    </row>
    <row r="17" spans="1:10" ht="19" x14ac:dyDescent="0.25">
      <c r="A17" s="12">
        <f>SUM(Tabelle2710[Estimated time])</f>
        <v>9</v>
      </c>
      <c r="B17" s="12">
        <f>SUM(Tabelle2710[Time in Hours])</f>
        <v>10</v>
      </c>
      <c r="C17" s="12">
        <f>Tabelle3811[[#This Row],[Estimated time]]-Tabelle3811[[#This Row],[Actual time]]</f>
        <v>-1</v>
      </c>
      <c r="D17" s="8"/>
      <c r="E17" s="12">
        <f>SUM(Tabelle2710[Story points])</f>
        <v>10</v>
      </c>
      <c r="F17" s="12">
        <f>Tabelle4912[[#This Row],[Total Storypoints ]]/Tabelle3811[[#This Row],[Actual time]]</f>
        <v>1</v>
      </c>
      <c r="G17" s="8"/>
      <c r="H17" s="8"/>
      <c r="I17" s="8"/>
      <c r="J17" s="8"/>
    </row>
  </sheetData>
  <pageMargins left="0.7" right="0.7" top="0.78740157499999996" bottom="0.78740157499999996" header="0.3" footer="0.3"/>
  <pageSetup paperSize="9"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3E7F-69B2-4364-9B99-E21372FE87D3}">
  <sheetPr>
    <tabColor theme="0"/>
  </sheetPr>
  <dimension ref="A1:K16"/>
  <sheetViews>
    <sheetView workbookViewId="0">
      <selection activeCell="D14" sqref="D14"/>
    </sheetView>
  </sheetViews>
  <sheetFormatPr baseColWidth="10" defaultRowHeight="15" x14ac:dyDescent="0.2"/>
  <cols>
    <col min="1" max="1" width="19.33203125" bestFit="1" customWidth="1"/>
    <col min="2" max="2" width="15.5" bestFit="1" customWidth="1"/>
    <col min="3" max="3" width="9.33203125" bestFit="1" customWidth="1"/>
    <col min="4" max="4" width="7.83203125" bestFit="1" customWidth="1"/>
    <col min="5" max="5" width="21" bestFit="1" customWidth="1"/>
    <col min="6" max="6" width="124.33203125" bestFit="1" customWidth="1"/>
    <col min="7" max="7" width="19.33203125" bestFit="1" customWidth="1"/>
    <col min="8" max="8" width="164.1640625" bestFit="1" customWidth="1"/>
    <col min="9" max="9" width="15.6640625" bestFit="1" customWidth="1"/>
    <col min="10" max="10" width="17.5" bestFit="1" customWidth="1"/>
    <col min="11" max="11" width="22" customWidth="1"/>
  </cols>
  <sheetData>
    <row r="1" spans="1:11" ht="19" x14ac:dyDescent="0.25">
      <c r="A1" s="8" t="s">
        <v>82</v>
      </c>
      <c r="B1" s="8" t="s">
        <v>83</v>
      </c>
      <c r="C1" s="8" t="s">
        <v>84</v>
      </c>
      <c r="D1" s="8" t="s">
        <v>85</v>
      </c>
      <c r="E1" s="8" t="s">
        <v>96</v>
      </c>
      <c r="F1" s="8" t="s">
        <v>95</v>
      </c>
      <c r="G1" s="8" t="s">
        <v>92</v>
      </c>
      <c r="H1" s="8" t="s">
        <v>88</v>
      </c>
      <c r="I1" s="8" t="s">
        <v>86</v>
      </c>
      <c r="J1" s="8" t="s">
        <v>87</v>
      </c>
      <c r="K1" s="8" t="s">
        <v>3</v>
      </c>
    </row>
    <row r="2" spans="1:11" ht="19" x14ac:dyDescent="0.25">
      <c r="A2" s="9">
        <v>45981</v>
      </c>
      <c r="B2" s="9">
        <v>45995</v>
      </c>
      <c r="C2" s="8"/>
      <c r="D2" s="8"/>
      <c r="E2" s="8"/>
      <c r="F2" s="8"/>
      <c r="G2" s="8"/>
      <c r="H2" s="8"/>
      <c r="I2" s="10"/>
      <c r="J2" s="8"/>
      <c r="K2" s="19"/>
    </row>
    <row r="3" spans="1:11" ht="19" x14ac:dyDescent="0.25">
      <c r="A3" s="8"/>
      <c r="B3" s="8"/>
      <c r="C3" s="8" t="s">
        <v>89</v>
      </c>
      <c r="D3" s="8" t="s">
        <v>149</v>
      </c>
      <c r="E3" s="8" t="s">
        <v>133</v>
      </c>
      <c r="F3" s="8" t="s">
        <v>51</v>
      </c>
      <c r="G3" s="8">
        <v>10</v>
      </c>
      <c r="H3" s="8" t="s">
        <v>134</v>
      </c>
      <c r="I3" s="8">
        <v>8</v>
      </c>
      <c r="J3" s="8">
        <v>10</v>
      </c>
      <c r="K3" s="19" t="s">
        <v>120</v>
      </c>
    </row>
    <row r="4" spans="1:11" ht="19" x14ac:dyDescent="0.25">
      <c r="A4" s="8"/>
      <c r="B4" s="8"/>
      <c r="C4" s="8" t="s">
        <v>89</v>
      </c>
      <c r="D4" s="2" t="s">
        <v>21</v>
      </c>
      <c r="E4" s="15" t="s">
        <v>22</v>
      </c>
      <c r="F4" s="2" t="s">
        <v>23</v>
      </c>
      <c r="G4" s="8">
        <v>1</v>
      </c>
      <c r="H4" s="8"/>
      <c r="I4" s="8">
        <v>4</v>
      </c>
      <c r="J4" s="8">
        <v>1</v>
      </c>
      <c r="K4" s="19" t="s">
        <v>120</v>
      </c>
    </row>
    <row r="5" spans="1:11" ht="19" x14ac:dyDescent="0.25">
      <c r="A5" s="8"/>
      <c r="B5" s="8"/>
      <c r="C5" s="8" t="s">
        <v>89</v>
      </c>
      <c r="D5" s="2" t="s">
        <v>10</v>
      </c>
      <c r="E5" s="15" t="s">
        <v>11</v>
      </c>
      <c r="F5" s="8" t="s">
        <v>121</v>
      </c>
      <c r="G5" s="8">
        <v>1</v>
      </c>
      <c r="H5" s="8"/>
      <c r="I5" s="8">
        <v>8</v>
      </c>
      <c r="J5" s="8">
        <v>1</v>
      </c>
      <c r="K5" s="19" t="s">
        <v>120</v>
      </c>
    </row>
    <row r="6" spans="1:11" ht="19" x14ac:dyDescent="0.25">
      <c r="A6" s="8"/>
      <c r="B6" s="8"/>
      <c r="C6" s="8" t="s">
        <v>89</v>
      </c>
      <c r="D6" s="8" t="s">
        <v>25</v>
      </c>
      <c r="E6" s="8" t="s">
        <v>29</v>
      </c>
      <c r="F6" s="8" t="s">
        <v>30</v>
      </c>
      <c r="G6" s="8">
        <v>1</v>
      </c>
      <c r="H6" s="8" t="s">
        <v>136</v>
      </c>
      <c r="I6" s="8">
        <v>6</v>
      </c>
      <c r="J6" s="8">
        <v>2</v>
      </c>
      <c r="K6" s="19" t="s">
        <v>120</v>
      </c>
    </row>
    <row r="7" spans="1:11" ht="19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19"/>
    </row>
    <row r="8" spans="1:11" ht="19" x14ac:dyDescent="0.25">
      <c r="A8" s="8"/>
      <c r="B8" s="8"/>
      <c r="C8" s="8" t="s">
        <v>122</v>
      </c>
      <c r="D8" s="8" t="s">
        <v>46</v>
      </c>
      <c r="E8" s="8" t="s">
        <v>138</v>
      </c>
      <c r="F8" s="8" t="s">
        <v>57</v>
      </c>
      <c r="G8" s="8">
        <v>4</v>
      </c>
      <c r="H8" s="8" t="s">
        <v>139</v>
      </c>
      <c r="I8" s="8">
        <v>9</v>
      </c>
      <c r="J8" s="8">
        <v>6</v>
      </c>
      <c r="K8" s="19" t="s">
        <v>120</v>
      </c>
    </row>
    <row r="9" spans="1:11" ht="19" x14ac:dyDescent="0.25">
      <c r="A9" s="8"/>
      <c r="B9" s="8"/>
      <c r="C9" s="8" t="s">
        <v>122</v>
      </c>
      <c r="D9" s="8" t="s">
        <v>58</v>
      </c>
      <c r="E9" s="8" t="s">
        <v>142</v>
      </c>
      <c r="F9" s="8" t="s">
        <v>145</v>
      </c>
      <c r="G9" s="8">
        <v>5</v>
      </c>
      <c r="H9" s="8" t="s">
        <v>150</v>
      </c>
      <c r="I9" s="8">
        <v>4</v>
      </c>
      <c r="J9" s="8">
        <v>4</v>
      </c>
      <c r="K9" s="19" t="s">
        <v>120</v>
      </c>
    </row>
    <row r="10" spans="1:11" ht="19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19"/>
    </row>
    <row r="11" spans="1:11" ht="19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19"/>
    </row>
    <row r="12" spans="1:11" ht="19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1" ht="19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1" ht="19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1" ht="19" x14ac:dyDescent="0.25">
      <c r="A15" s="13" t="s">
        <v>92</v>
      </c>
      <c r="B15" s="13" t="s">
        <v>93</v>
      </c>
      <c r="C15" s="13" t="s">
        <v>94</v>
      </c>
      <c r="D15" s="8"/>
      <c r="E15" s="13" t="s">
        <v>101</v>
      </c>
      <c r="F15" s="13" t="s">
        <v>123</v>
      </c>
      <c r="G15" s="8"/>
      <c r="H15" s="8"/>
      <c r="I15" s="8"/>
      <c r="J15" s="8"/>
    </row>
    <row r="16" spans="1:11" ht="19" x14ac:dyDescent="0.25">
      <c r="A16" s="12">
        <f>SUM(Tabelle271013[Estimated time])</f>
        <v>22</v>
      </c>
      <c r="B16" s="12">
        <f>SUM(Tabelle271013[Time in Hours])</f>
        <v>24</v>
      </c>
      <c r="C16" s="12">
        <f>Tabelle381114[[#This Row],[Estimated time]]-Tabelle381114[[#This Row],[Actual time]]</f>
        <v>-2</v>
      </c>
      <c r="D16" s="8"/>
      <c r="E16" s="12">
        <f>SUM(Tabelle271013[Story points])</f>
        <v>39</v>
      </c>
      <c r="F16" s="12">
        <f>Tabelle491215[[#This Row],[Total Storypoints ]]/Tabelle381114[[#This Row],[Actual time]]</f>
        <v>1.625</v>
      </c>
      <c r="G16" s="8"/>
      <c r="H16" s="8"/>
      <c r="I16" s="8"/>
      <c r="J16" s="8"/>
    </row>
  </sheetData>
  <pageMargins left="0.7" right="0.7" top="0.78740157499999996" bottom="0.78740157499999996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2B0F-3536-4E8C-84B2-AC2B6F592A3E}">
  <sheetPr>
    <tabColor theme="0"/>
  </sheetPr>
  <dimension ref="A1:K16"/>
  <sheetViews>
    <sheetView workbookViewId="0">
      <selection activeCell="K9" sqref="K9"/>
    </sheetView>
  </sheetViews>
  <sheetFormatPr baseColWidth="10" defaultRowHeight="15" x14ac:dyDescent="0.2"/>
  <cols>
    <col min="1" max="1" width="19.33203125" bestFit="1" customWidth="1"/>
    <col min="2" max="2" width="15.5" bestFit="1" customWidth="1"/>
    <col min="3" max="3" width="9.33203125" bestFit="1" customWidth="1"/>
    <col min="4" max="4" width="7.83203125" bestFit="1" customWidth="1"/>
    <col min="5" max="5" width="21" bestFit="1" customWidth="1"/>
    <col min="6" max="6" width="124.33203125" bestFit="1" customWidth="1"/>
    <col min="7" max="7" width="19.33203125" bestFit="1" customWidth="1"/>
    <col min="8" max="8" width="164.1640625" bestFit="1" customWidth="1"/>
    <col min="9" max="9" width="15.6640625" bestFit="1" customWidth="1"/>
    <col min="10" max="10" width="17.5" bestFit="1" customWidth="1"/>
    <col min="11" max="11" width="22" customWidth="1"/>
  </cols>
  <sheetData>
    <row r="1" spans="1:11" ht="19" x14ac:dyDescent="0.25">
      <c r="A1" s="8" t="s">
        <v>82</v>
      </c>
      <c r="B1" s="8" t="s">
        <v>83</v>
      </c>
      <c r="C1" s="8" t="s">
        <v>84</v>
      </c>
      <c r="D1" s="8" t="s">
        <v>85</v>
      </c>
      <c r="E1" s="8" t="s">
        <v>96</v>
      </c>
      <c r="F1" s="8" t="s">
        <v>95</v>
      </c>
      <c r="G1" s="8" t="s">
        <v>92</v>
      </c>
      <c r="H1" s="8" t="s">
        <v>88</v>
      </c>
      <c r="I1" s="8" t="s">
        <v>86</v>
      </c>
      <c r="J1" s="8" t="s">
        <v>87</v>
      </c>
      <c r="K1" s="8" t="s">
        <v>3</v>
      </c>
    </row>
    <row r="2" spans="1:11" ht="19" x14ac:dyDescent="0.25">
      <c r="A2" s="9">
        <v>45623</v>
      </c>
      <c r="B2" s="9">
        <v>46002</v>
      </c>
      <c r="C2" s="8"/>
      <c r="D2" s="8"/>
      <c r="E2" s="8"/>
      <c r="F2" s="8"/>
      <c r="G2" s="8"/>
      <c r="H2" s="8"/>
      <c r="I2" s="10"/>
      <c r="J2" s="8"/>
      <c r="K2" s="19"/>
    </row>
    <row r="3" spans="1:11" ht="19" x14ac:dyDescent="0.25">
      <c r="A3" s="8"/>
      <c r="B3" s="8"/>
      <c r="C3" s="8" t="s">
        <v>89</v>
      </c>
      <c r="D3" s="8" t="s">
        <v>153</v>
      </c>
      <c r="E3" s="8" t="s">
        <v>154</v>
      </c>
      <c r="F3" s="8" t="s">
        <v>152</v>
      </c>
      <c r="G3" s="8">
        <v>8</v>
      </c>
      <c r="H3" s="8" t="s">
        <v>155</v>
      </c>
      <c r="I3" s="8">
        <v>8</v>
      </c>
      <c r="J3" s="8">
        <v>8</v>
      </c>
      <c r="K3" s="19" t="s">
        <v>120</v>
      </c>
    </row>
    <row r="4" spans="1:11" ht="19" x14ac:dyDescent="0.25">
      <c r="A4" s="8"/>
      <c r="B4" s="8"/>
      <c r="C4" s="8"/>
      <c r="D4" s="2"/>
      <c r="E4" s="15"/>
      <c r="F4" s="2"/>
      <c r="G4" s="8"/>
      <c r="H4" s="8"/>
      <c r="I4" s="8"/>
      <c r="J4" s="8"/>
      <c r="K4" s="19"/>
    </row>
    <row r="5" spans="1:11" ht="19" x14ac:dyDescent="0.25">
      <c r="A5" s="8"/>
      <c r="B5" s="8"/>
      <c r="C5" s="8"/>
      <c r="D5" s="2"/>
      <c r="E5" s="15"/>
      <c r="F5" s="8"/>
      <c r="G5" s="8"/>
      <c r="H5" s="8"/>
      <c r="I5" s="8"/>
      <c r="J5" s="8"/>
      <c r="K5" s="19"/>
    </row>
    <row r="6" spans="1:11" ht="19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19"/>
    </row>
    <row r="7" spans="1:11" ht="19" x14ac:dyDescent="0.25">
      <c r="A7" s="8"/>
      <c r="B7" s="8"/>
      <c r="C7" s="8" t="s">
        <v>122</v>
      </c>
      <c r="D7" s="8" t="s">
        <v>156</v>
      </c>
      <c r="E7" s="8" t="s">
        <v>47</v>
      </c>
      <c r="F7" s="8" t="s">
        <v>48</v>
      </c>
      <c r="G7" s="8">
        <v>6</v>
      </c>
      <c r="H7" s="8" t="s">
        <v>157</v>
      </c>
      <c r="I7" s="8">
        <v>5</v>
      </c>
      <c r="J7" s="8">
        <v>5</v>
      </c>
      <c r="K7" s="19" t="s">
        <v>120</v>
      </c>
    </row>
    <row r="8" spans="1:11" ht="19" x14ac:dyDescent="0.25">
      <c r="A8" s="8"/>
      <c r="B8" s="8"/>
      <c r="C8" s="8" t="s">
        <v>122</v>
      </c>
      <c r="D8" s="8"/>
      <c r="E8" s="8"/>
      <c r="F8" s="8"/>
      <c r="G8" s="8"/>
      <c r="H8" s="8" t="s">
        <v>158</v>
      </c>
      <c r="I8" s="8"/>
      <c r="J8" s="8"/>
      <c r="K8" s="19"/>
    </row>
    <row r="9" spans="1:11" ht="19" x14ac:dyDescent="0.25">
      <c r="A9" s="8"/>
      <c r="B9" s="8"/>
      <c r="C9" s="8" t="s">
        <v>122</v>
      </c>
      <c r="D9" s="8" t="s">
        <v>149</v>
      </c>
      <c r="E9" s="8" t="s">
        <v>143</v>
      </c>
      <c r="F9" s="8" t="s">
        <v>144</v>
      </c>
      <c r="G9" s="8">
        <v>3</v>
      </c>
      <c r="H9" s="8" t="s">
        <v>159</v>
      </c>
      <c r="I9" s="8">
        <v>8</v>
      </c>
      <c r="J9" s="8">
        <v>3</v>
      </c>
      <c r="K9" s="19" t="s">
        <v>120</v>
      </c>
    </row>
    <row r="10" spans="1:11" ht="19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19"/>
    </row>
    <row r="11" spans="1:11" ht="19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19"/>
    </row>
    <row r="12" spans="1:11" ht="19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1" ht="19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1" ht="19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1" ht="19" x14ac:dyDescent="0.25">
      <c r="A15" s="13" t="s">
        <v>92</v>
      </c>
      <c r="B15" s="13" t="s">
        <v>93</v>
      </c>
      <c r="C15" s="13" t="s">
        <v>94</v>
      </c>
      <c r="D15" s="8"/>
      <c r="E15" s="13" t="s">
        <v>101</v>
      </c>
      <c r="F15" s="13" t="s">
        <v>123</v>
      </c>
      <c r="G15" s="8"/>
      <c r="H15" s="8"/>
      <c r="I15" s="8"/>
      <c r="J15" s="8"/>
    </row>
    <row r="16" spans="1:11" ht="19" x14ac:dyDescent="0.25">
      <c r="A16" s="12">
        <f>SUM(Tabelle27101316[Estimated time])</f>
        <v>17</v>
      </c>
      <c r="B16" s="12">
        <f>SUM(Tabelle27101316[Time in Hours])</f>
        <v>16</v>
      </c>
      <c r="C16" s="12">
        <f>Tabelle38111417[[#This Row],[Estimated time]]-Tabelle38111417[[#This Row],[Actual time]]</f>
        <v>1</v>
      </c>
      <c r="D16" s="8"/>
      <c r="E16" s="12">
        <f>SUM(Tabelle27101316[Story points])</f>
        <v>21</v>
      </c>
      <c r="F16" s="12">
        <f>Tabelle49121518[[#This Row],[Total Storypoints ]]/Tabelle38111417[[#This Row],[Actual time]]</f>
        <v>1.3125</v>
      </c>
      <c r="G16" s="8"/>
      <c r="H16" s="8"/>
      <c r="I16" s="8"/>
      <c r="J16" s="8"/>
    </row>
  </sheetData>
  <pageMargins left="0.7" right="0.7" top="0.78740157499999996" bottom="0.78740157499999996" header="0.3" footer="0.3"/>
  <pageSetup paperSize="9" orientation="portrait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4F1C-3BF1-40C7-BF61-F9F2FD9C1FB4}">
  <sheetPr>
    <tabColor theme="0"/>
  </sheetPr>
  <dimension ref="A1:K19"/>
  <sheetViews>
    <sheetView tabSelected="1" workbookViewId="0">
      <selection activeCell="F24" sqref="F24"/>
    </sheetView>
  </sheetViews>
  <sheetFormatPr baseColWidth="10" defaultRowHeight="15" x14ac:dyDescent="0.2"/>
  <cols>
    <col min="1" max="1" width="19.33203125" bestFit="1" customWidth="1"/>
    <col min="2" max="2" width="15.5" bestFit="1" customWidth="1"/>
    <col min="3" max="3" width="9.33203125" bestFit="1" customWidth="1"/>
    <col min="4" max="4" width="6.5" bestFit="1" customWidth="1"/>
    <col min="5" max="5" width="20.33203125" bestFit="1" customWidth="1"/>
    <col min="6" max="6" width="124.33203125" bestFit="1" customWidth="1"/>
    <col min="7" max="7" width="19.33203125" bestFit="1" customWidth="1"/>
    <col min="8" max="8" width="164.1640625" bestFit="1" customWidth="1"/>
    <col min="9" max="9" width="15.6640625" bestFit="1" customWidth="1"/>
    <col min="10" max="10" width="17.5" bestFit="1" customWidth="1"/>
    <col min="11" max="11" width="22" customWidth="1"/>
  </cols>
  <sheetData>
    <row r="1" spans="1:11" ht="19" x14ac:dyDescent="0.25">
      <c r="A1" s="8" t="s">
        <v>82</v>
      </c>
      <c r="B1" s="8" t="s">
        <v>83</v>
      </c>
      <c r="C1" s="8" t="s">
        <v>84</v>
      </c>
      <c r="D1" s="8" t="s">
        <v>85</v>
      </c>
      <c r="E1" s="8" t="s">
        <v>96</v>
      </c>
      <c r="F1" s="8" t="s">
        <v>95</v>
      </c>
      <c r="G1" s="8" t="s">
        <v>92</v>
      </c>
      <c r="H1" s="8" t="s">
        <v>88</v>
      </c>
      <c r="I1" s="8" t="s">
        <v>86</v>
      </c>
      <c r="J1" s="8" t="s">
        <v>87</v>
      </c>
      <c r="K1" s="8" t="s">
        <v>3</v>
      </c>
    </row>
    <row r="2" spans="1:11" ht="19" x14ac:dyDescent="0.25">
      <c r="A2" s="9">
        <v>46002</v>
      </c>
      <c r="B2" s="9">
        <v>46007</v>
      </c>
      <c r="C2" s="8"/>
      <c r="D2" s="8"/>
      <c r="E2" s="8"/>
      <c r="F2" s="8"/>
      <c r="G2" s="8"/>
      <c r="H2" s="8"/>
      <c r="I2" s="10"/>
      <c r="J2" s="8"/>
      <c r="K2" s="19"/>
    </row>
    <row r="3" spans="1:11" ht="19" x14ac:dyDescent="0.25">
      <c r="A3" s="8"/>
      <c r="B3" s="8"/>
      <c r="C3" s="8" t="s">
        <v>89</v>
      </c>
      <c r="D3" s="8"/>
      <c r="E3" s="8"/>
      <c r="F3" s="8"/>
      <c r="G3" s="8"/>
      <c r="H3" s="8"/>
      <c r="I3" s="8"/>
      <c r="J3" s="8"/>
      <c r="K3" s="19"/>
    </row>
    <row r="4" spans="1:11" ht="19" x14ac:dyDescent="0.25">
      <c r="A4" s="8"/>
      <c r="B4" s="8"/>
      <c r="C4" s="8"/>
      <c r="D4" s="2" t="s">
        <v>35</v>
      </c>
      <c r="E4" s="15" t="s">
        <v>29</v>
      </c>
      <c r="F4" s="2" t="s">
        <v>146</v>
      </c>
      <c r="G4" s="8">
        <v>4</v>
      </c>
      <c r="H4" s="8" t="s">
        <v>165</v>
      </c>
      <c r="I4" s="8">
        <v>5</v>
      </c>
      <c r="J4" s="8">
        <v>5</v>
      </c>
      <c r="K4" s="19"/>
    </row>
    <row r="5" spans="1:11" ht="19" x14ac:dyDescent="0.25">
      <c r="A5" s="8"/>
      <c r="B5" s="8"/>
      <c r="C5" s="8"/>
      <c r="D5" s="2"/>
      <c r="E5" s="15"/>
      <c r="F5" s="8"/>
      <c r="G5" s="8"/>
      <c r="H5" s="8" t="s">
        <v>166</v>
      </c>
      <c r="I5" s="8"/>
      <c r="J5" s="8"/>
      <c r="K5" s="19"/>
    </row>
    <row r="6" spans="1:11" ht="19" x14ac:dyDescent="0.25">
      <c r="A6" s="8"/>
      <c r="B6" s="8"/>
      <c r="C6" s="8"/>
      <c r="D6" s="10"/>
      <c r="E6" s="8"/>
      <c r="F6" s="8"/>
      <c r="G6" s="8"/>
      <c r="H6" s="8" t="s">
        <v>167</v>
      </c>
      <c r="I6" s="8"/>
      <c r="J6" s="8"/>
      <c r="K6" s="19"/>
    </row>
    <row r="7" spans="1:11" ht="19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19"/>
    </row>
    <row r="8" spans="1:11" ht="19" x14ac:dyDescent="0.25">
      <c r="A8" s="8"/>
      <c r="B8" s="8"/>
      <c r="C8" s="8" t="s">
        <v>89</v>
      </c>
      <c r="D8" s="10" t="s">
        <v>90</v>
      </c>
      <c r="E8" s="8" t="s">
        <v>169</v>
      </c>
      <c r="F8" s="8" t="s">
        <v>170</v>
      </c>
      <c r="G8" s="8">
        <v>3</v>
      </c>
      <c r="H8" s="8" t="s">
        <v>171</v>
      </c>
      <c r="I8" s="8"/>
      <c r="J8" s="8"/>
      <c r="K8" s="19"/>
    </row>
    <row r="9" spans="1:11" ht="19" x14ac:dyDescent="0.25">
      <c r="A9" s="8"/>
      <c r="B9" s="8"/>
      <c r="C9" s="8"/>
      <c r="D9" s="10"/>
      <c r="E9" s="8"/>
      <c r="F9" s="8"/>
      <c r="G9" s="8"/>
      <c r="H9" s="8" t="s">
        <v>172</v>
      </c>
      <c r="I9" s="8">
        <v>5</v>
      </c>
      <c r="J9" s="8">
        <v>6</v>
      </c>
      <c r="K9" s="19"/>
    </row>
    <row r="10" spans="1:11" ht="19" x14ac:dyDescent="0.25">
      <c r="A10" s="8"/>
      <c r="B10" s="8"/>
      <c r="C10" s="8"/>
      <c r="D10" s="10"/>
      <c r="E10" s="8"/>
      <c r="F10" s="8"/>
      <c r="G10" s="8"/>
      <c r="H10" s="8"/>
      <c r="I10" s="8"/>
      <c r="J10" s="8"/>
      <c r="K10" s="19"/>
    </row>
    <row r="11" spans="1:11" ht="40" x14ac:dyDescent="0.25">
      <c r="A11" s="8"/>
      <c r="B11" s="8"/>
      <c r="C11" s="8" t="s">
        <v>122</v>
      </c>
      <c r="D11" s="10" t="s">
        <v>24</v>
      </c>
      <c r="E11" s="8" t="s">
        <v>180</v>
      </c>
      <c r="F11" s="8" t="s">
        <v>148</v>
      </c>
      <c r="G11" s="8">
        <v>4</v>
      </c>
      <c r="H11" s="24" t="s">
        <v>181</v>
      </c>
      <c r="I11" s="8">
        <v>5</v>
      </c>
      <c r="J11" s="8">
        <v>3</v>
      </c>
      <c r="K11" s="19" t="s">
        <v>120</v>
      </c>
    </row>
    <row r="12" spans="1:11" ht="19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19"/>
    </row>
    <row r="13" spans="1:11" ht="19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19"/>
    </row>
    <row r="14" spans="1:11" ht="19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19"/>
    </row>
    <row r="15" spans="1:11" ht="19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1" ht="19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19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ht="19" x14ac:dyDescent="0.25">
      <c r="A18" s="13" t="s">
        <v>92</v>
      </c>
      <c r="B18" s="13" t="s">
        <v>93</v>
      </c>
      <c r="C18" s="13" t="s">
        <v>94</v>
      </c>
      <c r="D18" s="8"/>
      <c r="E18" s="13" t="s">
        <v>101</v>
      </c>
      <c r="F18" s="13" t="s">
        <v>123</v>
      </c>
      <c r="G18" s="8"/>
      <c r="H18" s="8"/>
      <c r="I18" s="8"/>
      <c r="J18" s="8"/>
    </row>
    <row r="19" spans="1:10" ht="19" x14ac:dyDescent="0.25">
      <c r="A19" s="12">
        <f>SUM(Tabelle2710131619[Estimated time])</f>
        <v>11</v>
      </c>
      <c r="B19" s="12">
        <f>SUM(Tabelle2710131619[Time in Hours])</f>
        <v>14</v>
      </c>
      <c r="C19" s="12">
        <f>Tabelle3811141720[[#This Row],[Estimated time]]-Tabelle3811141720[[#This Row],[Actual time]]</f>
        <v>-3</v>
      </c>
      <c r="D19" s="8"/>
      <c r="E19" s="12">
        <f>SUM(Tabelle2710131619[Story points])</f>
        <v>15</v>
      </c>
      <c r="F19" s="12">
        <f>Tabelle4912151821[[#This Row],[Total Storypoints ]]/Tabelle3811141720[[#This Row],[Actual time]]</f>
        <v>1.0714285714285714</v>
      </c>
      <c r="G19" s="8"/>
      <c r="H19" s="8"/>
      <c r="I19" s="8"/>
      <c r="J19" s="8"/>
    </row>
  </sheetData>
  <pageMargins left="0.7" right="0.7" top="0.78740157499999996" bottom="0.78740157499999996" header="0.3" footer="0.3"/>
  <pageSetup paperSize="9" orientation="portrait"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2A55-0520-4EB5-86E6-237FE14873A1}">
  <sheetPr>
    <tabColor theme="6"/>
  </sheetPr>
  <dimension ref="A1:J28"/>
  <sheetViews>
    <sheetView topLeftCell="D2" zoomScale="125" workbookViewId="0">
      <selection activeCell="E10" sqref="E10"/>
    </sheetView>
  </sheetViews>
  <sheetFormatPr baseColWidth="10" defaultRowHeight="15" x14ac:dyDescent="0.2"/>
  <cols>
    <col min="1" max="1" width="9.5" bestFit="1" customWidth="1"/>
    <col min="2" max="2" width="17.1640625" bestFit="1" customWidth="1"/>
    <col min="3" max="3" width="9.1640625" bestFit="1" customWidth="1"/>
    <col min="4" max="4" width="86.6640625" bestFit="1" customWidth="1"/>
    <col min="5" max="5" width="64.5" style="23" customWidth="1"/>
    <col min="6" max="6" width="10.1640625" bestFit="1" customWidth="1"/>
    <col min="7" max="7" width="13" bestFit="1" customWidth="1"/>
    <col min="8" max="8" width="8.1640625" bestFit="1" customWidth="1"/>
  </cols>
  <sheetData>
    <row r="1" spans="1:10" ht="16" x14ac:dyDescent="0.2">
      <c r="A1" s="3" t="s">
        <v>0</v>
      </c>
      <c r="B1" s="3" t="s">
        <v>1</v>
      </c>
      <c r="C1" s="3" t="s">
        <v>2</v>
      </c>
      <c r="D1" s="3" t="s">
        <v>161</v>
      </c>
      <c r="E1" s="21" t="s">
        <v>162</v>
      </c>
      <c r="F1" s="3" t="s">
        <v>3</v>
      </c>
      <c r="G1" s="3" t="s">
        <v>79</v>
      </c>
      <c r="H1" s="3" t="s">
        <v>4</v>
      </c>
      <c r="J1" s="17"/>
    </row>
    <row r="2" spans="1:10" x14ac:dyDescent="0.2">
      <c r="A2" s="2" t="s">
        <v>5</v>
      </c>
      <c r="B2" s="15" t="s">
        <v>6</v>
      </c>
      <c r="C2" s="2">
        <v>1</v>
      </c>
      <c r="D2" s="2" t="s">
        <v>7</v>
      </c>
      <c r="E2" s="20"/>
      <c r="F2" s="2" t="s">
        <v>120</v>
      </c>
      <c r="G2" s="2">
        <v>5</v>
      </c>
      <c r="H2" s="2">
        <v>1</v>
      </c>
      <c r="J2" s="17"/>
    </row>
    <row r="3" spans="1:10" x14ac:dyDescent="0.2">
      <c r="A3" s="2" t="s">
        <v>9</v>
      </c>
      <c r="B3" s="15" t="s">
        <v>11</v>
      </c>
      <c r="C3" s="2">
        <v>1</v>
      </c>
      <c r="D3" s="2" t="s">
        <v>121</v>
      </c>
      <c r="E3" s="20"/>
      <c r="F3" s="2" t="s">
        <v>120</v>
      </c>
      <c r="G3" s="2">
        <v>8</v>
      </c>
      <c r="H3" s="2">
        <v>4</v>
      </c>
      <c r="J3" s="17"/>
    </row>
    <row r="4" spans="1:10" x14ac:dyDescent="0.2">
      <c r="A4" s="2" t="s">
        <v>10</v>
      </c>
      <c r="B4" s="15" t="s">
        <v>44</v>
      </c>
      <c r="C4" s="2">
        <v>1</v>
      </c>
      <c r="D4" s="2" t="s">
        <v>45</v>
      </c>
      <c r="E4" s="20"/>
      <c r="F4" s="2" t="s">
        <v>8</v>
      </c>
      <c r="G4" s="2">
        <v>3</v>
      </c>
      <c r="H4" s="2"/>
      <c r="J4" s="17"/>
    </row>
    <row r="5" spans="1:10" x14ac:dyDescent="0.2">
      <c r="A5" s="2" t="s">
        <v>12</v>
      </c>
      <c r="B5" s="15" t="s">
        <v>109</v>
      </c>
      <c r="C5" s="2">
        <v>2</v>
      </c>
      <c r="D5" s="2" t="s">
        <v>110</v>
      </c>
      <c r="E5" s="20"/>
      <c r="F5" s="2" t="s">
        <v>120</v>
      </c>
      <c r="G5" s="2">
        <v>8</v>
      </c>
      <c r="H5" s="2">
        <v>2</v>
      </c>
      <c r="J5" s="17"/>
    </row>
    <row r="6" spans="1:10" x14ac:dyDescent="0.2">
      <c r="A6" s="2" t="s">
        <v>15</v>
      </c>
      <c r="B6" s="15" t="s">
        <v>18</v>
      </c>
      <c r="C6" s="2">
        <v>2</v>
      </c>
      <c r="D6" s="2" t="s">
        <v>19</v>
      </c>
      <c r="E6" s="20"/>
      <c r="F6" s="2" t="s">
        <v>120</v>
      </c>
      <c r="G6" s="2">
        <v>5</v>
      </c>
      <c r="H6" s="2">
        <v>2</v>
      </c>
      <c r="J6" s="17"/>
    </row>
    <row r="7" spans="1:10" x14ac:dyDescent="0.2">
      <c r="A7" s="2" t="s">
        <v>17</v>
      </c>
      <c r="B7" s="15" t="s">
        <v>151</v>
      </c>
      <c r="C7" s="2">
        <v>2</v>
      </c>
      <c r="D7" s="2" t="s">
        <v>152</v>
      </c>
      <c r="E7" s="20"/>
      <c r="F7" s="2" t="s">
        <v>120</v>
      </c>
      <c r="G7" s="2">
        <v>8</v>
      </c>
      <c r="H7" s="2">
        <v>5</v>
      </c>
      <c r="J7" s="17"/>
    </row>
    <row r="8" spans="1:10" x14ac:dyDescent="0.2">
      <c r="A8" s="2" t="s">
        <v>20</v>
      </c>
      <c r="B8" s="15" t="s">
        <v>13</v>
      </c>
      <c r="C8" s="2">
        <v>3</v>
      </c>
      <c r="D8" s="2" t="s">
        <v>14</v>
      </c>
      <c r="E8" s="20"/>
      <c r="F8" s="2" t="s">
        <v>120</v>
      </c>
      <c r="G8" s="2">
        <v>5</v>
      </c>
      <c r="H8" s="2">
        <v>3</v>
      </c>
      <c r="J8" s="17"/>
    </row>
    <row r="9" spans="1:10" x14ac:dyDescent="0.2">
      <c r="A9" s="2" t="s">
        <v>21</v>
      </c>
      <c r="B9" s="15" t="s">
        <v>29</v>
      </c>
      <c r="C9" s="2">
        <v>3</v>
      </c>
      <c r="D9" s="2" t="s">
        <v>30</v>
      </c>
      <c r="E9" s="20"/>
      <c r="F9" s="2" t="s">
        <v>120</v>
      </c>
      <c r="G9" s="2">
        <v>5</v>
      </c>
      <c r="H9" s="2">
        <v>4</v>
      </c>
      <c r="J9" s="17"/>
    </row>
    <row r="10" spans="1:10" ht="48" x14ac:dyDescent="0.2">
      <c r="A10" s="2" t="s">
        <v>24</v>
      </c>
      <c r="B10" s="15" t="s">
        <v>147</v>
      </c>
      <c r="C10" s="2">
        <v>3</v>
      </c>
      <c r="D10" s="2" t="s">
        <v>148</v>
      </c>
      <c r="E10" s="20" t="s">
        <v>163</v>
      </c>
      <c r="F10" s="2" t="s">
        <v>168</v>
      </c>
      <c r="G10" s="2">
        <v>5</v>
      </c>
      <c r="H10" s="2">
        <v>6</v>
      </c>
      <c r="J10" s="17"/>
    </row>
    <row r="11" spans="1:10" x14ac:dyDescent="0.2">
      <c r="A11" s="2" t="s">
        <v>25</v>
      </c>
      <c r="B11" s="15" t="s">
        <v>13</v>
      </c>
      <c r="C11" s="2">
        <v>4</v>
      </c>
      <c r="D11" s="2" t="s">
        <v>16</v>
      </c>
      <c r="E11" s="20"/>
      <c r="F11" s="2" t="s">
        <v>120</v>
      </c>
      <c r="G11" s="2">
        <v>3</v>
      </c>
      <c r="H11" s="2">
        <v>3</v>
      </c>
      <c r="J11" s="17"/>
    </row>
    <row r="12" spans="1:10" x14ac:dyDescent="0.2">
      <c r="A12" s="2" t="s">
        <v>28</v>
      </c>
      <c r="B12" s="15" t="s">
        <v>33</v>
      </c>
      <c r="C12" s="2">
        <v>4</v>
      </c>
      <c r="D12" s="2" t="s">
        <v>34</v>
      </c>
      <c r="E12" s="20"/>
      <c r="F12" s="2" t="s">
        <v>120</v>
      </c>
      <c r="G12" s="2">
        <v>8</v>
      </c>
      <c r="H12" s="2">
        <v>3</v>
      </c>
      <c r="J12" s="17"/>
    </row>
    <row r="13" spans="1:10" x14ac:dyDescent="0.2">
      <c r="A13" s="2" t="s">
        <v>31</v>
      </c>
      <c r="B13" s="15" t="s">
        <v>22</v>
      </c>
      <c r="C13" s="2">
        <v>5</v>
      </c>
      <c r="D13" s="2" t="s">
        <v>23</v>
      </c>
      <c r="E13" s="20"/>
      <c r="F13" s="2" t="s">
        <v>120</v>
      </c>
      <c r="G13" s="2">
        <v>3</v>
      </c>
      <c r="H13" s="2">
        <v>4</v>
      </c>
      <c r="J13" s="17"/>
    </row>
    <row r="14" spans="1:10" x14ac:dyDescent="0.2">
      <c r="A14" s="2" t="s">
        <v>32</v>
      </c>
      <c r="B14" s="15" t="s">
        <v>56</v>
      </c>
      <c r="C14" s="2">
        <v>5</v>
      </c>
      <c r="D14" s="2" t="s">
        <v>57</v>
      </c>
      <c r="E14" s="20"/>
      <c r="F14" s="2" t="s">
        <v>120</v>
      </c>
      <c r="G14" s="2">
        <v>8</v>
      </c>
      <c r="H14" s="2">
        <v>4</v>
      </c>
      <c r="J14" s="17"/>
    </row>
    <row r="15" spans="1:10" ht="48" x14ac:dyDescent="0.2">
      <c r="A15" s="2" t="s">
        <v>35</v>
      </c>
      <c r="B15" s="15" t="s">
        <v>29</v>
      </c>
      <c r="C15" s="2">
        <v>6</v>
      </c>
      <c r="D15" s="2" t="s">
        <v>146</v>
      </c>
      <c r="E15" s="20" t="s">
        <v>164</v>
      </c>
      <c r="F15" s="2" t="s">
        <v>168</v>
      </c>
      <c r="G15" s="2">
        <v>5</v>
      </c>
      <c r="H15" s="2">
        <v>6</v>
      </c>
      <c r="J15" s="17"/>
    </row>
    <row r="16" spans="1:10" x14ac:dyDescent="0.2">
      <c r="A16" s="2" t="s">
        <v>36</v>
      </c>
      <c r="B16" s="15" t="s">
        <v>26</v>
      </c>
      <c r="C16" s="2">
        <v>7</v>
      </c>
      <c r="D16" s="2" t="s">
        <v>27</v>
      </c>
      <c r="E16" s="20"/>
      <c r="F16" s="2" t="s">
        <v>8</v>
      </c>
      <c r="G16" s="2">
        <v>5</v>
      </c>
      <c r="H16" s="2"/>
      <c r="J16" s="17"/>
    </row>
    <row r="17" spans="1:10" x14ac:dyDescent="0.2">
      <c r="A17" s="2" t="s">
        <v>39</v>
      </c>
      <c r="B17" s="15" t="s">
        <v>140</v>
      </c>
      <c r="C17" s="2">
        <v>7</v>
      </c>
      <c r="D17" s="2" t="s">
        <v>141</v>
      </c>
      <c r="E17" s="20"/>
      <c r="F17" s="2" t="s">
        <v>120</v>
      </c>
      <c r="G17" s="2">
        <v>3</v>
      </c>
      <c r="H17" s="2">
        <v>4</v>
      </c>
      <c r="J17" s="17"/>
    </row>
    <row r="18" spans="1:10" x14ac:dyDescent="0.2">
      <c r="A18" s="2" t="s">
        <v>40</v>
      </c>
      <c r="B18" s="15" t="s">
        <v>143</v>
      </c>
      <c r="C18" s="2">
        <v>7</v>
      </c>
      <c r="D18" s="2" t="s">
        <v>144</v>
      </c>
      <c r="E18" s="20"/>
      <c r="F18" s="2" t="s">
        <v>120</v>
      </c>
      <c r="G18" s="2">
        <v>8</v>
      </c>
      <c r="H18" s="2">
        <v>5</v>
      </c>
      <c r="J18" s="17"/>
    </row>
    <row r="19" spans="1:10" x14ac:dyDescent="0.2">
      <c r="A19" s="2" t="s">
        <v>43</v>
      </c>
      <c r="B19" s="15" t="s">
        <v>142</v>
      </c>
      <c r="C19" s="2">
        <v>7</v>
      </c>
      <c r="D19" s="2" t="s">
        <v>145</v>
      </c>
      <c r="E19" s="20"/>
      <c r="F19" s="2" t="s">
        <v>120</v>
      </c>
      <c r="G19" s="2">
        <v>5</v>
      </c>
      <c r="H19" s="2">
        <v>4</v>
      </c>
      <c r="J19" s="17"/>
    </row>
    <row r="20" spans="1:10" x14ac:dyDescent="0.2">
      <c r="A20" s="2" t="s">
        <v>46</v>
      </c>
      <c r="B20" s="15" t="s">
        <v>50</v>
      </c>
      <c r="C20" s="2">
        <v>8</v>
      </c>
      <c r="D20" s="2" t="s">
        <v>51</v>
      </c>
      <c r="E20" s="20"/>
      <c r="F20" s="2" t="s">
        <v>120</v>
      </c>
      <c r="G20" s="2">
        <v>8</v>
      </c>
      <c r="H20" s="2">
        <v>4</v>
      </c>
      <c r="J20" s="17"/>
    </row>
    <row r="21" spans="1:10" x14ac:dyDescent="0.2">
      <c r="A21" s="2" t="s">
        <v>49</v>
      </c>
      <c r="B21" s="15" t="s">
        <v>37</v>
      </c>
      <c r="C21" s="2">
        <v>11</v>
      </c>
      <c r="D21" s="2" t="s">
        <v>38</v>
      </c>
      <c r="E21" s="20"/>
      <c r="F21" s="2" t="s">
        <v>8</v>
      </c>
      <c r="G21" s="2">
        <v>3</v>
      </c>
      <c r="H21" s="2"/>
      <c r="J21" s="17"/>
    </row>
    <row r="22" spans="1:10" x14ac:dyDescent="0.2">
      <c r="A22" s="2" t="s">
        <v>52</v>
      </c>
      <c r="B22" s="15" t="s">
        <v>41</v>
      </c>
      <c r="C22" s="2">
        <v>12</v>
      </c>
      <c r="D22" s="2" t="s">
        <v>42</v>
      </c>
      <c r="E22" s="20"/>
      <c r="F22" s="2" t="s">
        <v>8</v>
      </c>
      <c r="G22" s="2">
        <v>5</v>
      </c>
      <c r="H22" s="2"/>
      <c r="J22" s="17"/>
    </row>
    <row r="23" spans="1:10" x14ac:dyDescent="0.2">
      <c r="A23" s="2" t="s">
        <v>55</v>
      </c>
      <c r="B23" s="15" t="s">
        <v>47</v>
      </c>
      <c r="C23" s="2">
        <v>13</v>
      </c>
      <c r="D23" s="2" t="s">
        <v>48</v>
      </c>
      <c r="E23" s="20"/>
      <c r="F23" s="2" t="s">
        <v>120</v>
      </c>
      <c r="G23" s="2">
        <v>5</v>
      </c>
      <c r="H23" s="2">
        <v>5</v>
      </c>
      <c r="J23" s="17"/>
    </row>
    <row r="24" spans="1:10" x14ac:dyDescent="0.2">
      <c r="A24" s="2" t="s">
        <v>58</v>
      </c>
      <c r="B24" s="15" t="s">
        <v>53</v>
      </c>
      <c r="C24" s="2">
        <v>14</v>
      </c>
      <c r="D24" s="2" t="s">
        <v>54</v>
      </c>
      <c r="E24" s="20"/>
      <c r="F24" s="2" t="s">
        <v>8</v>
      </c>
      <c r="G24" s="2">
        <v>3</v>
      </c>
      <c r="H24" s="2"/>
      <c r="J24" s="17"/>
    </row>
    <row r="25" spans="1:10" ht="48" x14ac:dyDescent="0.2">
      <c r="A25" s="2" t="s">
        <v>173</v>
      </c>
      <c r="B25" s="15" t="s">
        <v>174</v>
      </c>
      <c r="C25" s="2">
        <v>6</v>
      </c>
      <c r="D25" s="2" t="s">
        <v>170</v>
      </c>
      <c r="E25" s="20" t="s">
        <v>175</v>
      </c>
      <c r="F25" s="2" t="s">
        <v>168</v>
      </c>
      <c r="G25" s="2">
        <v>3</v>
      </c>
      <c r="H25" s="2">
        <v>6</v>
      </c>
    </row>
    <row r="26" spans="1:10" ht="16" x14ac:dyDescent="0.2">
      <c r="A26" s="2" t="s">
        <v>176</v>
      </c>
      <c r="B26" s="15" t="s">
        <v>177</v>
      </c>
      <c r="C26" s="2">
        <v>13</v>
      </c>
      <c r="D26" s="2" t="s">
        <v>178</v>
      </c>
      <c r="E26" s="20" t="s">
        <v>179</v>
      </c>
      <c r="F26" s="2" t="s">
        <v>168</v>
      </c>
      <c r="G26" s="2">
        <v>3</v>
      </c>
      <c r="H26" s="2">
        <v>6</v>
      </c>
    </row>
    <row r="27" spans="1:10" x14ac:dyDescent="0.2">
      <c r="A27" s="2" t="s">
        <v>61</v>
      </c>
      <c r="B27" s="15" t="s">
        <v>59</v>
      </c>
      <c r="C27" s="2">
        <v>15</v>
      </c>
      <c r="D27" s="2" t="s">
        <v>60</v>
      </c>
      <c r="E27" s="20"/>
      <c r="F27" s="2" t="s">
        <v>8</v>
      </c>
      <c r="G27" s="2">
        <v>5</v>
      </c>
      <c r="H27" s="2"/>
    </row>
    <row r="28" spans="1:10" x14ac:dyDescent="0.2">
      <c r="A28" s="4"/>
      <c r="B28" s="16"/>
      <c r="C28" s="4"/>
      <c r="D28" s="4"/>
      <c r="E28" s="22"/>
      <c r="F28" s="4"/>
      <c r="G28" s="4">
        <f>SUM(G2:G24)</f>
        <v>124</v>
      </c>
      <c r="H28" s="4"/>
    </row>
  </sheetData>
  <phoneticPr fontId="2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Sprint Dashboard</vt:lpstr>
      <vt:lpstr>Sprint1</vt:lpstr>
      <vt:lpstr>Sprint2</vt:lpstr>
      <vt:lpstr>Sprint3</vt:lpstr>
      <vt:lpstr>Sprint4</vt:lpstr>
      <vt:lpstr>Sprint5</vt:lpstr>
      <vt:lpstr>Sprint6</vt:lpstr>
      <vt:lpstr>Storys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Rankl Manuel</dc:creator>
  <cp:lastModifiedBy>Hoheneder Daniel</cp:lastModifiedBy>
  <dcterms:created xsi:type="dcterms:W3CDTF">2025-09-25T17:27:06Z</dcterms:created>
  <dcterms:modified xsi:type="dcterms:W3CDTF">2025-12-18T18:54:34Z</dcterms:modified>
</cp:coreProperties>
</file>