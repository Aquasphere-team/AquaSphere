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3680\Desktop\Schule\SYP\Aquarium\Excel_File\"/>
    </mc:Choice>
  </mc:AlternateContent>
  <xr:revisionPtr revIDLastSave="0" documentId="13_ncr:1_{0F23E7AC-B093-404D-BC82-CD3281E9B18D}" xr6:coauthVersionLast="47" xr6:coauthVersionMax="47" xr10:uidLastSave="{00000000-0000-0000-0000-000000000000}"/>
  <bookViews>
    <workbookView xWindow="-110" yWindow="-110" windowWidth="25820" windowHeight="15500" xr2:uid="{3C511D28-10C8-4337-AED7-CFA66BBB7484}"/>
  </bookViews>
  <sheets>
    <sheet name="Sprint Dashboard" sheetId="2" r:id="rId1"/>
    <sheet name="Sprint1" sheetId="3" r:id="rId2"/>
    <sheet name="Sprint2" sheetId="4" r:id="rId3"/>
    <sheet name="Story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7" i="2" s="1"/>
  <c r="E2" i="2" a="1"/>
  <c r="E2" i="2" s="1"/>
  <c r="E3" i="2" a="1"/>
  <c r="E3" i="2" s="1"/>
  <c r="E16" i="4"/>
  <c r="B16" i="4"/>
  <c r="D3" i="2" s="1" a="1"/>
  <c r="D3" i="2" s="1"/>
  <c r="A16" i="4"/>
  <c r="E16" i="3"/>
  <c r="B16" i="3"/>
  <c r="D2" i="2" s="1" a="1"/>
  <c r="D2" i="2" s="1"/>
  <c r="A16" i="3"/>
  <c r="C2" i="2" s="1" a="1"/>
  <c r="C2" i="2" s="1"/>
  <c r="C14" i="2"/>
  <c r="F27" i="1"/>
  <c r="C16" i="4" l="1"/>
  <c r="F16" i="4"/>
  <c r="C3" i="2" a="1"/>
  <c r="C3" i="2" s="1"/>
  <c r="C16" i="2"/>
  <c r="F16" i="3"/>
  <c r="C16" i="3"/>
  <c r="H8" i="2"/>
  <c r="F8" i="2"/>
  <c r="H6" i="2"/>
  <c r="F6" i="2"/>
  <c r="F5" i="2"/>
  <c r="H5" i="2"/>
  <c r="F3" i="2"/>
  <c r="H3" i="2"/>
  <c r="H7" i="2"/>
  <c r="F7" i="2"/>
  <c r="H4" i="2"/>
  <c r="F4" i="2"/>
  <c r="H2" i="2"/>
  <c r="F2" i="2"/>
  <c r="C1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<sst xmlns="http://schemas.openxmlformats.org/spreadsheetml/2006/main" count="204" uniqueCount="138">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</sst>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19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</cellXfs>
  <cellStyles count="2">
    <cellStyle name="Prozent" xfId="1" builtinId="5"/>
    <cellStyle name="Standard" xfId="0" builtinId="0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60" dataDxfId="59">
  <autoFilter ref="A1:H8" xr:uid="{AAF41172-5838-4CA9-A8A2-78B1E57ACF1F}"/>
  <tableColumns count="8">
    <tableColumn id="1" xr3:uid="{8BB8E342-544E-430C-A72A-9EBF9676D447}" name="Sprint" dataDxfId="58"/>
    <tableColumn id="9" xr3:uid="{96A939A8-DA63-4E70-B123-D31A897D4192}" name="Story ID" dataDxfId="57"/>
    <tableColumn id="2" xr3:uid="{CB307D23-EE39-436B-9E06-9E7789362DB6}" name="Estimated Hours" dataDxfId="56">
      <calculatedColumnFormula array="1">Tabelle3[Estimated time]</calculatedColumnFormula>
    </tableColumn>
    <tableColumn id="3" xr3:uid="{5EFC7DEC-DFDE-454B-90FC-2713EB4181D8}" name="Actual Hours" dataDxfId="55">
      <calculatedColumnFormula array="1">Tabelle3[Actual time]</calculatedColumnFormula>
    </tableColumn>
    <tableColumn id="4" xr3:uid="{D6FF0659-1B35-4F09-B5A7-D22FEF5F7C3F}" name="Accomplished Story Points" dataDxfId="54">
      <calculatedColumnFormula array="1">Tabelle4[[Total Storypoints ]]</calculatedColumnFormula>
    </tableColumn>
    <tableColumn id="5" xr3:uid="{9CD2DBE3-2E45-4440-8D7A-2A03A0291AAD}" name="Velocity" dataDxfId="53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52"/>
    <tableColumn id="7" xr3:uid="{D8A5F5FE-B9BC-448A-A9E7-3D00888AE639}" name="Storypoints Left" dataDxfId="51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50" dataDxfId="49">
  <autoFilter ref="A1:J9" xr:uid="{739F99A6-83FF-4FC0-82EE-54F2B8B8AE5A}"/>
  <tableColumns count="10">
    <tableColumn id="1" xr3:uid="{0351E8C1-0BB8-4C19-A406-233CC12328E5}" name="Sprint Start" dataDxfId="48"/>
    <tableColumn id="2" xr3:uid="{51BD2FE0-507A-4398-BD96-E186E78BB2C7}" name="Sprint End" dataDxfId="47"/>
    <tableColumn id="3" xr3:uid="{A3B7E86B-E01A-4D78-82AD-BA81F6AC7ADF}" name="User" dataDxfId="46"/>
    <tableColumn id="5" xr3:uid="{CE780601-F45C-4063-B216-98ACE5588903}" name="ID" dataDxfId="45"/>
    <tableColumn id="6" xr3:uid="{A14D049D-AC5C-49A5-A7CC-A4D5ED8A8330}" name="Epic" dataDxfId="44"/>
    <tableColumn id="12" xr3:uid="{770F10A6-830A-41AC-B069-6267CAE00BDF}" name="User Story /Task" dataDxfId="43"/>
    <tableColumn id="11" xr3:uid="{0D9AB552-F7B4-4231-A35B-245B57383919}" name="Estimated time" dataDxfId="42"/>
    <tableColumn id="8" xr3:uid="{3E2E3644-9002-4AB9-B3EC-96FFF84D8900}" name="COS (Criteria of Satisfaction)" dataDxfId="41"/>
    <tableColumn id="9" xr3:uid="{14C8E3A9-BC37-48D9-A399-32A48A46993A}" name="Story points" dataDxfId="40"/>
    <tableColumn id="10" xr3:uid="{151786D9-5F15-42D7-932B-664A024F4131}" name="Time in Hours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38" dataDxfId="37">
  <autoFilter ref="A15:C16" xr:uid="{F79F1E8C-9DFD-4482-95C6-9C23936D055B}"/>
  <tableColumns count="3">
    <tableColumn id="1" xr3:uid="{CD2D4D96-DD34-4EA3-92D7-B02BB9DE5647}" name="Estimated time" dataDxfId="36">
      <calculatedColumnFormula>SUM(Tabelle2[Estimated time])</calculatedColumnFormula>
    </tableColumn>
    <tableColumn id="2" xr3:uid="{0F14E190-6E0A-4AB8-8ADE-83875E98D4B5}" name="Actual time" dataDxfId="35">
      <calculatedColumnFormula>SUM(Tabelle2[Time in Hours])</calculatedColumnFormula>
    </tableColumn>
    <tableColumn id="3" xr3:uid="{5DE18543-F4D3-4732-9F2D-5B7F140CB974}" name="Delta" dataDxfId="34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33" dataDxfId="32">
  <autoFilter ref="E15:F16" xr:uid="{F5FF718A-3E4E-40DD-BD72-E3ACE1B58735}"/>
  <tableColumns count="2">
    <tableColumn id="1" xr3:uid="{2E187AEA-682F-4749-9FC8-ED3BA3DE1DA2}" name="Total Storypoints " dataDxfId="31">
      <calculatedColumnFormula>SUM(Tabelle2[Story points])</calculatedColumnFormula>
    </tableColumn>
    <tableColumn id="2" xr3:uid="{3C6DC8F5-724A-43AC-9128-7661A96380C1}" name="Efford/Hour" dataDxfId="30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J9" insertRowShift="1" totalsRowShown="0" headerRowDxfId="20" dataDxfId="19">
  <autoFilter ref="A1:J9" xr:uid="{739F99A6-83FF-4FC0-82EE-54F2B8B8AE5A}"/>
  <tableColumns count="10">
    <tableColumn id="1" xr3:uid="{9C36A560-9153-4D8E-BA50-0044E74E1896}" name="Sprint Start" dataDxfId="18"/>
    <tableColumn id="2" xr3:uid="{4FAB3106-8621-41F1-B866-EA5558F083D8}" name="Sprint End" dataDxfId="17"/>
    <tableColumn id="3" xr3:uid="{2D2022CC-B165-4671-9773-4C7DCE737FC7}" name="User" dataDxfId="16"/>
    <tableColumn id="5" xr3:uid="{6D49D607-DA69-4FF5-AC26-260E9F796217}" name="ID" dataDxfId="15"/>
    <tableColumn id="6" xr3:uid="{95077F2F-115F-484E-A38C-A34A2BCBCB78}" name="Epic" dataDxfId="14"/>
    <tableColumn id="12" xr3:uid="{2EAFDE91-2C58-4973-A684-28E2E964F629}" name="User Story /Task" dataDxfId="13"/>
    <tableColumn id="11" xr3:uid="{D17AAC02-918A-4F08-B037-3622F37B62F0}" name="Estimated time" dataDxfId="12"/>
    <tableColumn id="8" xr3:uid="{4D053EE2-698A-4191-ABEB-8F0701DA4D4E}" name="COS (Criteria of Satisfaction)" dataDxfId="11"/>
    <tableColumn id="9" xr3:uid="{73BF0134-792D-4614-95FB-754C4A317665}" name="Story points" dataDxfId="10"/>
    <tableColumn id="10" xr3:uid="{2620A9CC-A288-4874-BF27-2BBE69671B14}" name="Time in Hours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5:C16" totalsRowShown="0" headerRowDxfId="8" dataDxfId="7">
  <autoFilter ref="A15:C16" xr:uid="{F79F1E8C-9DFD-4482-95C6-9C23936D055B}"/>
  <tableColumns count="3">
    <tableColumn id="1" xr3:uid="{608DD481-0706-4498-AF85-EB4AD6D17A03}" name="Estimated time" dataDxfId="6">
      <calculatedColumnFormula>SUM(Tabelle27[Estimated time])</calculatedColumnFormula>
    </tableColumn>
    <tableColumn id="2" xr3:uid="{727CC20C-885F-49B6-A31D-85E6D39BFD35}" name="Actual time" dataDxfId="5">
      <calculatedColumnFormula>SUM(Tabelle27[Time in Hours])</calculatedColumnFormula>
    </tableColumn>
    <tableColumn id="3" xr3:uid="{DB626F11-D2AA-4B08-BE29-BA7526E2BE88}" name="Delta" dataDxfId="4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5:F16" totalsRowShown="0" headerRowDxfId="3" dataDxfId="2">
  <autoFilter ref="E15:F16" xr:uid="{F5FF718A-3E4E-40DD-BD72-E3ACE1B58735}"/>
  <tableColumns count="2">
    <tableColumn id="1" xr3:uid="{1F43F730-E2EB-4487-8A5C-6B0E3F4CC598}" name="Total Storypoints " dataDxfId="1">
      <calculatedColumnFormula>SUM(Tabelle27[Story points])</calculatedColumnFormula>
    </tableColumn>
    <tableColumn id="2" xr3:uid="{95E1605C-A4E2-4173-B0AE-218EC74BDEA1}" name="Efford/Hour" dataDxfId="0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29" dataDxfId="28">
  <autoFilter ref="A1:G27" xr:uid="{9C26F5F1-3CA5-4498-8D9F-A792FBE4E032}"/>
  <tableColumns count="7">
    <tableColumn id="1" xr3:uid="{BC6E6F54-B9E2-4D1B-BB78-E6F30265832D}" name="Story ID" dataDxfId="27"/>
    <tableColumn id="2" xr3:uid="{5BD6C059-22C9-4C4A-90A3-74736AC1F83D}" name="Title" dataDxfId="26"/>
    <tableColumn id="3" xr3:uid="{F3A7207B-9229-4096-9A5B-C4FB1EDD5455}" name="Priority" dataDxfId="25"/>
    <tableColumn id="4" xr3:uid="{E38B598E-699A-460C-AB30-1E65BB7404BF}" name="Effort" dataDxfId="24"/>
    <tableColumn id="5" xr3:uid="{5087B805-D2DF-49C7-9936-ECACDF516D64}" name="Status" dataDxfId="23"/>
    <tableColumn id="6" xr3:uid="{05DFD049-144E-4717-9B70-2B02AA12CC20}" name="Story Points" dataDxfId="22"/>
    <tableColumn id="7" xr3:uid="{98F7F45D-928E-4B6F-868A-18B3899C12B6}" name="Sprint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tabSelected="1" zoomScale="85" zoomScaleNormal="85" workbookViewId="0">
      <selection activeCell="E26" sqref="E26"/>
    </sheetView>
  </sheetViews>
  <sheetFormatPr baseColWidth="10" defaultRowHeight="14.5" x14ac:dyDescent="0.35"/>
  <cols>
    <col min="1" max="1" width="11.08984375" bestFit="1" customWidth="1"/>
    <col min="2" max="2" width="37.81640625" bestFit="1" customWidth="1"/>
    <col min="3" max="3" width="23.81640625" bestFit="1" customWidth="1"/>
    <col min="4" max="4" width="19.08984375" bestFit="1" customWidth="1"/>
    <col min="5" max="5" width="36.08984375" bestFit="1" customWidth="1"/>
    <col min="6" max="6" width="13.54296875" bestFit="1" customWidth="1"/>
    <col min="7" max="7" width="24.1796875" bestFit="1" customWidth="1"/>
    <col min="8" max="8" width="22.90625" bestFit="1" customWidth="1"/>
    <col min="9" max="9" width="22.54296875" bestFit="1" customWidth="1"/>
  </cols>
  <sheetData>
    <row r="1" spans="1:8" ht="21" x14ac:dyDescent="0.5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1" x14ac:dyDescent="0.5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86</v>
      </c>
      <c r="B3" s="7" t="s">
        <v>127</v>
      </c>
      <c r="C3" s="7" cm="1">
        <f t="array" ref="C3">Tabelle38[Estimated time]</f>
        <v>12</v>
      </c>
      <c r="D3" s="7" cm="1">
        <f t="array" ref="D3">Tabelle38[Actual time]</f>
        <v>9</v>
      </c>
      <c r="E3" s="7" cm="1">
        <f t="array" ref="E3">Tabelle49[[Total Storypoints ]]</f>
        <v>13</v>
      </c>
      <c r="F3" s="7">
        <f>IFERROR(Tabelle1[[#This Row],[Accomplished Story Points]]/Tabelle1[[#This Row],[Actual Hours]],0)</f>
        <v>1.4444444444444444</v>
      </c>
      <c r="G3" s="7">
        <v>146</v>
      </c>
      <c r="H3" s="7">
        <f>Tabelle1[[#This Row],[Total Storypoints]]-Tabelle1[[#This Row],[Accomplished Story Points]]</f>
        <v>133</v>
      </c>
    </row>
    <row r="4" spans="1:8" ht="21" x14ac:dyDescent="0.5">
      <c r="A4" s="7" t="s">
        <v>87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</row>
    <row r="5" spans="1:8" ht="21" x14ac:dyDescent="0.5">
      <c r="A5" s="7" t="s">
        <v>88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</row>
    <row r="6" spans="1:8" ht="21" x14ac:dyDescent="0.5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1" x14ac:dyDescent="0.5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1" x14ac:dyDescent="0.5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3.5" x14ac:dyDescent="0.55000000000000004">
      <c r="B12" s="1" t="s">
        <v>92</v>
      </c>
      <c r="C12" s="5">
        <v>146</v>
      </c>
    </row>
    <row r="13" spans="1:8" ht="23.5" x14ac:dyDescent="0.55000000000000004">
      <c r="B13" s="1" t="s">
        <v>133</v>
      </c>
      <c r="C13" s="5">
        <f>C12-SUM(Tabelle1[Accomplished Story Points])</f>
        <v>133</v>
      </c>
    </row>
    <row r="14" spans="1:8" ht="23.5" x14ac:dyDescent="0.55000000000000004">
      <c r="B14" s="1" t="s">
        <v>96</v>
      </c>
      <c r="C14" s="5">
        <f>COUNTIF(Tabelle1[Sprint],"*Sprint*")</f>
        <v>7</v>
      </c>
    </row>
    <row r="15" spans="1:8" ht="23.5" x14ac:dyDescent="0.55000000000000004">
      <c r="B15" s="1" t="s">
        <v>93</v>
      </c>
      <c r="C15" s="5">
        <f>AVERAGE(Tabelle1[Velocity])</f>
        <v>0.20634920634920634</v>
      </c>
    </row>
    <row r="16" spans="1:8" ht="23.5" x14ac:dyDescent="0.55000000000000004">
      <c r="B16" s="1" t="s">
        <v>94</v>
      </c>
      <c r="C16" s="14">
        <f>(SUM(Tabelle1[Accomplished Story Points],)/G2)</f>
        <v>8.9041095890410954E-2</v>
      </c>
    </row>
    <row r="17" spans="2:3" ht="23.5" x14ac:dyDescent="0.55000000000000004">
      <c r="B17" s="1" t="s">
        <v>84</v>
      </c>
      <c r="C17" s="18">
        <f>C13/C15</f>
        <v>644.53846153846155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F16" sqref="F16"/>
    </sheetView>
  </sheetViews>
  <sheetFormatPr baseColWidth="10" defaultRowHeight="14.5" x14ac:dyDescent="0.35"/>
  <cols>
    <col min="1" max="1" width="19.7265625" bestFit="1" customWidth="1"/>
    <col min="2" max="2" width="15.81640625" bestFit="1" customWidth="1"/>
    <col min="3" max="3" width="9.36328125" bestFit="1" customWidth="1"/>
    <col min="4" max="4" width="6.90625" bestFit="1" customWidth="1"/>
    <col min="5" max="5" width="33.81640625" bestFit="1" customWidth="1"/>
    <col min="6" max="6" width="27.453125" bestFit="1" customWidth="1"/>
    <col min="7" max="7" width="19.7265625" bestFit="1" customWidth="1"/>
    <col min="8" max="8" width="95.36328125" bestFit="1" customWidth="1"/>
    <col min="9" max="9" width="16.36328125" bestFit="1" customWidth="1"/>
    <col min="10" max="10" width="18.089843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8.5" x14ac:dyDescent="0.4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8.5" x14ac:dyDescent="0.4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8.5" x14ac:dyDescent="0.4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8.5" x14ac:dyDescent="0.4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J16"/>
  <sheetViews>
    <sheetView zoomScale="85" zoomScaleNormal="85" workbookViewId="0">
      <selection activeCell="H30" sqref="H30"/>
    </sheetView>
  </sheetViews>
  <sheetFormatPr baseColWidth="10" defaultRowHeight="14.5" x14ac:dyDescent="0.35"/>
  <cols>
    <col min="1" max="1" width="19.7265625" bestFit="1" customWidth="1"/>
    <col min="2" max="2" width="15.81640625" bestFit="1" customWidth="1"/>
    <col min="3" max="3" width="9.36328125" bestFit="1" customWidth="1"/>
    <col min="4" max="4" width="6.90625" bestFit="1" customWidth="1"/>
    <col min="5" max="5" width="33.81640625" bestFit="1" customWidth="1"/>
    <col min="6" max="6" width="27.453125" bestFit="1" customWidth="1"/>
    <col min="7" max="7" width="19.7265625" bestFit="1" customWidth="1"/>
    <col min="8" max="8" width="95.36328125" bestFit="1" customWidth="1"/>
    <col min="9" max="9" width="16.36328125" bestFit="1" customWidth="1"/>
    <col min="10" max="10" width="18.089843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</row>
    <row r="3" spans="1:10" ht="18.5" x14ac:dyDescent="0.4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</row>
    <row r="4" spans="1:10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</row>
    <row r="5" spans="1:10" ht="18.5" x14ac:dyDescent="0.4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</row>
    <row r="6" spans="1:10" ht="18.5" x14ac:dyDescent="0.4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/>
      <c r="J6" s="8"/>
    </row>
    <row r="7" spans="1:10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SUM(Tabelle27[Estimated time])</f>
        <v>12</v>
      </c>
      <c r="B16" s="12">
        <f>SUM(Tabelle27[Time in Hours])</f>
        <v>9</v>
      </c>
      <c r="C16" s="12">
        <f>Tabelle38[[#This Row],[Estimated time]]-Tabelle38[[#This Row],[Actual time]]</f>
        <v>3</v>
      </c>
      <c r="D16" s="8"/>
      <c r="E16" s="12">
        <f>SUM(Tabelle27[Story points])</f>
        <v>13</v>
      </c>
      <c r="F16" s="12">
        <f>Tabelle49[[#This Row],[Total Storypoints ]]/Tabelle38[[#This Row],[Actual time]]</f>
        <v>1.4444444444444444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D33" sqref="D32:D33"/>
    </sheetView>
  </sheetViews>
  <sheetFormatPr baseColWidth="10" defaultRowHeight="14.5" x14ac:dyDescent="0.35"/>
  <cols>
    <col min="1" max="1" width="9.54296875" bestFit="1" customWidth="1"/>
    <col min="2" max="2" width="16" bestFit="1" customWidth="1"/>
    <col min="3" max="3" width="9.08984375" bestFit="1" customWidth="1"/>
    <col min="4" max="4" width="61.08984375" bestFit="1" customWidth="1"/>
    <col min="5" max="5" width="10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125</v>
      </c>
      <c r="C3" s="2">
        <v>2</v>
      </c>
      <c r="D3" s="2" t="s">
        <v>126</v>
      </c>
      <c r="E3" s="2" t="s">
        <v>9</v>
      </c>
      <c r="F3" s="2">
        <v>8</v>
      </c>
      <c r="G3" s="2"/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/>
      <c r="I4" s="17"/>
    </row>
    <row r="5" spans="1:9" x14ac:dyDescent="0.35">
      <c r="A5" s="2" t="s">
        <v>13</v>
      </c>
      <c r="B5" s="15" t="s">
        <v>14</v>
      </c>
      <c r="C5" s="2">
        <v>3</v>
      </c>
      <c r="D5" s="2" t="s">
        <v>15</v>
      </c>
      <c r="E5" s="2" t="s">
        <v>9</v>
      </c>
      <c r="F5" s="2">
        <v>5</v>
      </c>
      <c r="G5" s="2"/>
      <c r="I5" s="17"/>
    </row>
    <row r="6" spans="1:9" x14ac:dyDescent="0.35">
      <c r="A6" s="2" t="s">
        <v>16</v>
      </c>
      <c r="B6" s="15" t="s">
        <v>14</v>
      </c>
      <c r="C6" s="2">
        <v>4</v>
      </c>
      <c r="D6" s="2" t="s">
        <v>17</v>
      </c>
      <c r="E6" s="2" t="s">
        <v>9</v>
      </c>
      <c r="F6" s="2">
        <v>4</v>
      </c>
      <c r="G6" s="2"/>
      <c r="I6" s="17"/>
    </row>
    <row r="7" spans="1:9" x14ac:dyDescent="0.35">
      <c r="A7" s="2" t="s">
        <v>18</v>
      </c>
      <c r="B7" s="15" t="s">
        <v>19</v>
      </c>
      <c r="C7" s="2">
        <v>2</v>
      </c>
      <c r="D7" s="2" t="s">
        <v>20</v>
      </c>
      <c r="E7" s="2" t="s">
        <v>9</v>
      </c>
      <c r="F7" s="2">
        <v>6</v>
      </c>
      <c r="G7" s="2"/>
      <c r="I7" s="17"/>
    </row>
    <row r="8" spans="1:9" x14ac:dyDescent="0.35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35">
      <c r="A9" s="2" t="s">
        <v>24</v>
      </c>
      <c r="B9" s="15" t="s">
        <v>25</v>
      </c>
      <c r="C9" s="2">
        <v>5</v>
      </c>
      <c r="D9" s="2" t="s">
        <v>26</v>
      </c>
      <c r="E9" s="2" t="s">
        <v>9</v>
      </c>
      <c r="F9" s="2">
        <v>4</v>
      </c>
      <c r="G9" s="2"/>
      <c r="I9" s="17"/>
    </row>
    <row r="10" spans="1:9" x14ac:dyDescent="0.35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35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35">
      <c r="A12" s="2" t="s">
        <v>33</v>
      </c>
      <c r="B12" s="15" t="s">
        <v>34</v>
      </c>
      <c r="C12" s="2">
        <v>3</v>
      </c>
      <c r="D12" s="2" t="s">
        <v>35</v>
      </c>
      <c r="E12" s="2" t="s">
        <v>9</v>
      </c>
      <c r="F12" s="2">
        <v>6</v>
      </c>
      <c r="G12" s="2"/>
      <c r="I12" s="17"/>
    </row>
    <row r="13" spans="1:9" x14ac:dyDescent="0.35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35">
      <c r="A14" s="2" t="s">
        <v>39</v>
      </c>
      <c r="B14" s="15" t="s">
        <v>40</v>
      </c>
      <c r="C14" s="2">
        <v>4</v>
      </c>
      <c r="D14" s="2" t="s">
        <v>41</v>
      </c>
      <c r="E14" s="2" t="s">
        <v>9</v>
      </c>
      <c r="F14" s="2">
        <v>7</v>
      </c>
      <c r="G14" s="2"/>
      <c r="I14" s="17"/>
    </row>
    <row r="15" spans="1:9" x14ac:dyDescent="0.35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35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35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35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35">
      <c r="A21" s="2" t="s">
        <v>60</v>
      </c>
      <c r="B21" s="15" t="s">
        <v>61</v>
      </c>
      <c r="C21" s="2">
        <v>8</v>
      </c>
      <c r="D21" s="2" t="s">
        <v>62</v>
      </c>
      <c r="E21" s="2" t="s">
        <v>9</v>
      </c>
      <c r="F21" s="2">
        <v>9</v>
      </c>
      <c r="G21" s="2"/>
      <c r="I21" s="17"/>
    </row>
    <row r="22" spans="1:9" x14ac:dyDescent="0.35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35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35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35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35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35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Sprint Dashboard</vt:lpstr>
      <vt:lpstr>Sprint1</vt:lpstr>
      <vt:lpstr>Sprint2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2025-10-16T18:05:36Z</dcterms:modified>
</cp:coreProperties>
</file>