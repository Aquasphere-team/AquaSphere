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1"/>
  <workbookPr/>
  <mc:AlternateContent xmlns:mc="http://schemas.openxmlformats.org/markup-compatibility/2006">
    <mc:Choice Requires="x15">
      <x15ac:absPath xmlns:x15ac="http://schemas.microsoft.com/office/spreadsheetml/2010/11/ac" url="/Users/danielhoheneder/Desktop/Schule/syp/AquaSphere/Excel_File/"/>
    </mc:Choice>
  </mc:AlternateContent>
  <xr:revisionPtr revIDLastSave="0" documentId="13_ncr:1_{90FA0BD0-7D72-DE4E-9119-DB7ACC598B23}" xr6:coauthVersionLast="47" xr6:coauthVersionMax="47" xr10:uidLastSave="{00000000-0000-0000-0000-000000000000}"/>
  <bookViews>
    <workbookView xWindow="2260" yWindow="1060" windowWidth="31120" windowHeight="19480" xr2:uid="{3C511D28-10C8-4337-AED7-CFA66BBB7484}"/>
  </bookViews>
  <sheets>
    <sheet name="Sprint Dashboard" sheetId="2" r:id="rId1"/>
    <sheet name="Sprint1" sheetId="3" r:id="rId2"/>
    <sheet name="Storys" sheetId="1" r:id="rId3"/>
    <sheet name="Sprint2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2" l="1" a="1"/>
  <c r="E2" i="2" s="1"/>
  <c r="E17" i="4"/>
  <c r="E3" i="2" s="1" a="1"/>
  <c r="E3" i="2" s="1"/>
  <c r="C1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F27" i="1"/>
  <c r="C17" i="4" l="1"/>
  <c r="F17" i="4"/>
  <c r="C3" i="2" a="1"/>
  <c r="C3" i="2" s="1"/>
  <c r="C16" i="2"/>
  <c r="F16" i="3"/>
  <c r="C16" i="3"/>
  <c r="H8" i="2"/>
  <c r="F8" i="2"/>
  <c r="H6" i="2"/>
  <c r="F6" i="2"/>
  <c r="F5" i="2"/>
  <c r="H5" i="2"/>
  <c r="F3" i="2"/>
  <c r="H3" i="2"/>
  <c r="H7" i="2"/>
  <c r="F7" i="2"/>
  <c r="H4" i="2"/>
  <c r="F4" i="2"/>
  <c r="H2" i="2"/>
  <c r="F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<sst xmlns="http://schemas.openxmlformats.org/spreadsheetml/2006/main" count="226" uniqueCount="148">
  <si>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</si>
  <si>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</si>
  <si>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</si>
  <si>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</si>
  <si>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</si>
  <si>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</si>
  <si>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</si>
  <si>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</si>
  <si>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</si>
  <si>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</si>
  <si>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</si>
  <si>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</si>
  <si>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</si>
  <si>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</si>
  <si>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</si>
  <si>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</si>
  <si>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</si>
  <si>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</si>
  <si>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</si>
  <si>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</si>
  <si>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</si>
  <si>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</si>
  <si>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Gamification</t>
  </si>
  <si>
    <t>Als Nutzer möchte ich neue Fischarten freischalten.</t>
  </si>
  <si>
    <t>AQU8</t>
  </si>
  <si>
    <t>Speichersystem</t>
  </si>
  <si>
    <t>Als Nutzer möchte ich mein Aquarium speichern.</t>
  </si>
  <si>
    <t>AQU9</t>
  </si>
  <si>
    <t>Premium</t>
  </si>
  <si>
    <t>Als Nutzer möchte ich seltene Fischarten kaufen.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</si>
  <si>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</si>
  <si>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</si>
  <si>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</si>
  <si>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</si>
  <si>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</si>
  <si>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</si>
  <si>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</si>
  <si>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Sound</t>
  </si>
  <si>
    <t>Als Nutzer möchte ich entspannende Hintergrundmusik hören.</t>
  </si>
  <si>
    <t>AQU13</t>
  </si>
  <si>
    <t>Responsive Design</t>
  </si>
  <si>
    <t>Als Nutzer möchte ich die App auf verschiedenen Geräten nutzen.</t>
  </si>
  <si>
    <t>AQU14</t>
  </si>
  <si>
    <t>Community</t>
  </si>
  <si>
    <t>Als Nutzer möchte ich Screenshots meines Aquariums teilen.</t>
  </si>
  <si>
    <t>AQU15</t>
  </si>
  <si>
    <t>Beleuchtung</t>
  </si>
  <si>
    <t>Als Nutzer möchte ich die Aquarium-Beleuchtung ändern.</t>
  </si>
  <si>
    <t>AQU16</t>
  </si>
  <si>
    <t>Performance</t>
  </si>
  <si>
    <t>Als Nutzer möchte ich flüssige Animationen erleben.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</si>
  <si>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</si>
  <si>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</si>
  <si>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</si>
  <si>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</si>
  <si>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</si>
  <si>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</si>
  <si>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</si>
  <si>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</si>
  <si>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</si>
  <si>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</si>
  <si>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</si>
  <si>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</si>
  <si>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</si>
  <si>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</si>
  <si>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</si>
  <si>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</si>
  <si>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</si>
  <si>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</si>
  <si>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</si>
  <si>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</si>
  <si>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</si>
  <si>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</si>
  <si>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Offline-Modus</t>
  </si>
  <si>
    <t>Als Nutzer möchte ich die App ohne Internet nutzen.</t>
  </si>
  <si>
    <t>AQU25</t>
  </si>
  <si>
    <t>Mini-Spiele</t>
  </si>
  <si>
    <t>Als Nutzer möchte ich kleine Spiele im Aquarium spielen.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</si>
  <si>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</si>
  <si>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</si>
  <si>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</si>
  <si>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</si>
  <si>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</si>
  <si>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</si>
  <si>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</si>
  <si>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</si>
  <si>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</si>
  <si>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</si>
  <si>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</si>
  <si>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</si>
  <si>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</si>
  <si>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</si>
  <si>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</si>
  <si>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</si>
  <si>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</si>
  <si>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</si>
  <si>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</si>
  <si>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</si>
  <si>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</si>
  <si>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</si>
  <si>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</si>
  <si>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</si>
  <si>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</si>
  <si>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</si>
  <si>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</si>
  <si>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</si>
  <si>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</si>
  <si>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</si>
  <si>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</si>
  <si>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</si>
  <si>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</si>
  <si>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</si>
  <si>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</si>
  <si>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</si>
  <si>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</si>
  <si>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</si>
  <si>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</si>
  <si>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</si>
  <si>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</si>
  <si>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</si>
  <si>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</si>
  <si>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</si>
  <si>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</si>
  <si>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</si>
  <si>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</si>
  <si>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</si>
  <si>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</si>
  <si>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</si>
  <si>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</si>
  <si>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</si>
  <si>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</si>
  <si>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</si>
  <si>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</si>
  <si>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</si>
  <si>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</si>
  <si>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</si>
  <si>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</si>
  <si>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</si>
  <si>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</si>
  <si>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</si>
  <si>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Started / not done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</si>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</sst>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</cellXfs>
  <cellStyles count="2">
    <cellStyle name="Normal" xfId="0" builtinId="0"/>
    <cellStyle name="Percent" xfId="1" builtinId="5"/>
  </cellStyles>
  <dxfs count="6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61" dataDxfId="60">
  <autoFilter ref="A1:H8" xr:uid="{AAF41172-5838-4CA9-A8A2-78B1E57ACF1F}"/>
  <tableColumns count="8">
    <tableColumn id="1" xr3:uid="{8BB8E342-544E-430C-A72A-9EBF9676D447}" name="Sprint" dataDxfId="59"/>
    <tableColumn id="9" xr3:uid="{96A939A8-DA63-4E70-B123-D31A897D4192}" name="Story ID" dataDxfId="58"/>
    <tableColumn id="2" xr3:uid="{CB307D23-EE39-436B-9E06-9E7789362DB6}" name="Estimated Hours" dataDxfId="57">
      <calculatedColumnFormula array="1">Tabelle3[Estimated time]</calculatedColumnFormula>
    </tableColumn>
    <tableColumn id="3" xr3:uid="{5EFC7DEC-DFDE-454B-90FC-2713EB4181D8}" name="Actual Hours" dataDxfId="56">
      <calculatedColumnFormula array="1">Tabelle3[Actual time]</calculatedColumnFormula>
    </tableColumn>
    <tableColumn id="4" xr3:uid="{D6FF0659-1B35-4F09-B5A7-D22FEF5F7C3F}" name="Accomplished Story Points" dataDxfId="55">
      <calculatedColumnFormula array="1">Tabelle4[[Total Storypoints ]]</calculatedColumnFormula>
    </tableColumn>
    <tableColumn id="5" xr3:uid="{9CD2DBE3-2E45-4440-8D7A-2A03A0291AAD}" name="Velocity" dataDxfId="54">
      <calculatedColumnFormula>IFERROR(Tabelle1[[#This Row],[Accomplished Story Points]]/Tabelle1[[#This Row],[Actual Hours]],0)</calculatedColumnFormula>
    </tableColumn>
    <tableColumn id="6" xr3:uid="{1977DF7A-0A05-43B5-99D3-B72159480780}" name="Total Storypoints" dataDxfId="53"/>
    <tableColumn id="7" xr3:uid="{D8A5F5FE-B9BC-448A-A9E7-3D00888AE639}" name="Storypoints Left" dataDxfId="52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51" dataDxfId="50">
  <autoFilter ref="A1:J9" xr:uid="{739F99A6-83FF-4FC0-82EE-54F2B8B8AE5A}"/>
  <tableColumns count="10">
    <tableColumn id="1" xr3:uid="{0351E8C1-0BB8-4C19-A406-233CC12328E5}" name="Sprint Start" dataDxfId="49"/>
    <tableColumn id="2" xr3:uid="{51BD2FE0-507A-4398-BD96-E186E78BB2C7}" name="Sprint End" dataDxfId="48"/>
    <tableColumn id="3" xr3:uid="{A3B7E86B-E01A-4D78-82AD-BA81F6AC7ADF}" name="User" dataDxfId="47"/>
    <tableColumn id="5" xr3:uid="{CE780601-F45C-4063-B216-98ACE5588903}" name="ID" dataDxfId="46"/>
    <tableColumn id="6" xr3:uid="{A14D049D-AC5C-49A5-A7CC-A4D5ED8A8330}" name="Epic" dataDxfId="45"/>
    <tableColumn id="12" xr3:uid="{770F10A6-830A-41AC-B069-6267CAE00BDF}" name="User Story /Task" dataDxfId="44"/>
    <tableColumn id="11" xr3:uid="{0D9AB552-F7B4-4231-A35B-245B57383919}" name="Estimated time" dataDxfId="43"/>
    <tableColumn id="8" xr3:uid="{3E2E3644-9002-4AB9-B3EC-96FFF84D8900}" name="COS (Criteria of Satisfaction)" dataDxfId="42"/>
    <tableColumn id="9" xr3:uid="{14C8E3A9-BC37-48D9-A399-32A48A46993A}" name="Story points" dataDxfId="41"/>
    <tableColumn id="10" xr3:uid="{151786D9-5F15-42D7-932B-664A024F4131}" name="Time in Hours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39" dataDxfId="38">
  <autoFilter ref="A15:C16" xr:uid="{F79F1E8C-9DFD-4482-95C6-9C23936D055B}"/>
  <tableColumns count="3">
    <tableColumn id="1" xr3:uid="{CD2D4D96-DD34-4EA3-92D7-B02BB9DE5647}" name="Estimated time" dataDxfId="37">
      <calculatedColumnFormula>SUM(Tabelle2[Estimated time])</calculatedColumnFormula>
    </tableColumn>
    <tableColumn id="2" xr3:uid="{0F14E190-6E0A-4AB8-8ADE-83875E98D4B5}" name="Actual time" dataDxfId="36">
      <calculatedColumnFormula>SUM(Tabelle2[Time in Hours])</calculatedColumnFormula>
    </tableColumn>
    <tableColumn id="3" xr3:uid="{5DE18543-F4D3-4732-9F2D-5B7F140CB974}" name="Delta" dataDxfId="35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34" dataDxfId="33">
  <autoFilter ref="E15:F16" xr:uid="{F5FF718A-3E4E-40DD-BD72-E3ACE1B58735}"/>
  <tableColumns count="2">
    <tableColumn id="1" xr3:uid="{2E187AEA-682F-4749-9FC8-ED3BA3DE1DA2}" name="Total Storypoints " dataDxfId="32">
      <calculatedColumnFormula>SUM(Tabelle2[Story points])</calculatedColumnFormula>
    </tableColumn>
    <tableColumn id="2" xr3:uid="{3C6DC8F5-724A-43AC-9128-7661A96380C1}" name="Efford/Hour" dataDxfId="31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7" totalsRowShown="0" headerRowDxfId="30" dataDxfId="29">
  <autoFilter ref="A1:G27" xr:uid="{9C26F5F1-3CA5-4498-8D9F-A792FBE4E032}"/>
  <tableColumns count="7">
    <tableColumn id="1" xr3:uid="{BC6E6F54-B9E2-4D1B-BB78-E6F30265832D}" name="Story ID" dataDxfId="28"/>
    <tableColumn id="2" xr3:uid="{5BD6C059-22C9-4C4A-90A3-74736AC1F83D}" name="Title" dataDxfId="27"/>
    <tableColumn id="3" xr3:uid="{F3A7207B-9229-4096-9A5B-C4FB1EDD5455}" name="Priority" dataDxfId="26"/>
    <tableColumn id="4" xr3:uid="{E38B598E-699A-460C-AB30-1E65BB7404BF}" name="Effort" dataDxfId="25"/>
    <tableColumn id="5" xr3:uid="{5087B805-D2DF-49C7-9936-ECACDF516D64}" name="Status" dataDxfId="24"/>
    <tableColumn id="6" xr3:uid="{05DFD049-144E-4717-9B70-2B02AA12CC20}" name="Story Points" dataDxfId="23"/>
    <tableColumn id="7" xr3:uid="{98F7F45D-928E-4B6F-868A-18B3899C12B6}" name="Sprint" dataDxfId="2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21" dataDxfId="20">
  <autoFilter ref="A1:K12" xr:uid="{739F99A6-83FF-4FC0-82EE-54F2B8B8AE5A}"/>
  <tableColumns count="11">
    <tableColumn id="1" xr3:uid="{9C36A560-9153-4D8E-BA50-0044E74E1896}" name="Sprint Start" dataDxfId="19"/>
    <tableColumn id="2" xr3:uid="{4FAB3106-8621-41F1-B866-EA5558F083D8}" name="Sprint End" dataDxfId="18"/>
    <tableColumn id="3" xr3:uid="{2D2022CC-B165-4671-9773-4C7DCE737FC7}" name="User" dataDxfId="17"/>
    <tableColumn id="5" xr3:uid="{6D49D607-DA69-4FF5-AC26-260E9F796217}" name="ID" dataDxfId="16"/>
    <tableColumn id="6" xr3:uid="{95077F2F-115F-484E-A38C-A34A2BCBCB78}" name="Epic" dataDxfId="15"/>
    <tableColumn id="12" xr3:uid="{2EAFDE91-2C58-4973-A684-28E2E964F629}" name="User Story /Task" dataDxfId="14"/>
    <tableColumn id="11" xr3:uid="{D17AAC02-918A-4F08-B037-3622F37B62F0}" name="Estimated time" dataDxfId="13"/>
    <tableColumn id="8" xr3:uid="{4D053EE2-698A-4191-ABEB-8F0701DA4D4E}" name="COS (Criteria of Satisfaction)" dataDxfId="12"/>
    <tableColumn id="9" xr3:uid="{73BF0134-792D-4614-95FB-754C4A317665}" name="Story points" dataDxfId="11"/>
    <tableColumn id="10" xr3:uid="{2620A9CC-A288-4874-BF27-2BBE69671B14}" name="Time in Hours" dataDxfId="10"/>
    <tableColumn id="4" xr3:uid="{EEDB864F-4BEC-E84C-8BC3-11680213E110}" name="Status" dataDxfId="9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8" dataDxfId="7">
  <autoFilter ref="A16:C17" xr:uid="{F79F1E8C-9DFD-4482-95C6-9C23936D055B}"/>
  <tableColumns count="3">
    <tableColumn id="1" xr3:uid="{608DD481-0706-4498-AF85-EB4AD6D17A03}" name="Estimated time" dataDxfId="6">
      <calculatedColumnFormula>SUM(Tabelle27[Estimated time])</calculatedColumnFormula>
    </tableColumn>
    <tableColumn id="2" xr3:uid="{727CC20C-885F-49B6-A31D-85E6D39BFD35}" name="Actual time" dataDxfId="5">
      <calculatedColumnFormula>SUM(Tabelle27[Time in Hours])</calculatedColumnFormula>
    </tableColumn>
    <tableColumn id="3" xr3:uid="{DB626F11-D2AA-4B08-BE29-BA7526E2BE88}" name="Delta" dataDxfId="4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3" dataDxfId="2">
  <autoFilter ref="E16:F17" xr:uid="{F5FF718A-3E4E-40DD-BD72-E3ACE1B58735}"/>
  <tableColumns count="2">
    <tableColumn id="1" xr3:uid="{1F43F730-E2EB-4487-8A5C-6B0E3F4CC598}" name="Total Storypoints " dataDxfId="1">
      <calculatedColumnFormula>SUM(Tabelle27[Story points])</calculatedColumnFormula>
    </tableColumn>
    <tableColumn id="2" xr3:uid="{95E1605C-A4E2-4173-B0AE-218EC74BDEA1}" name="Effort/Hour" dataDxfId="0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tabSelected="1" zoomScale="85" zoomScaleNormal="85" workbookViewId="0">
      <selection activeCell="E23" sqref="E23"/>
    </sheetView>
  </sheetViews>
  <sheetFormatPr baseColWidth="10" defaultRowHeight="15" x14ac:dyDescent="0.2"/>
  <cols>
    <col min="1" max="1" width="11.1640625" bestFit="1" customWidth="1"/>
    <col min="2" max="2" width="37.83203125" bestFit="1" customWidth="1"/>
    <col min="3" max="3" width="23.83203125" bestFit="1" customWidth="1"/>
    <col min="4" max="4" width="19.1640625" bestFit="1" customWidth="1"/>
    <col min="5" max="5" width="36.1640625" bestFit="1" customWidth="1"/>
    <col min="6" max="6" width="13.5" bestFit="1" customWidth="1"/>
    <col min="7" max="7" width="24.1640625" bestFit="1" customWidth="1"/>
    <col min="8" max="8" width="22.83203125" bestFit="1" customWidth="1"/>
    <col min="9" max="9" width="22.5" bestFit="1" customWidth="1"/>
  </cols>
  <sheetData>
    <row r="1" spans="1:8" ht="22" x14ac:dyDescent="0.3">
      <c r="A1" s="6" t="s">
        <v>5</v>
      </c>
      <c r="B1" s="6" t="s">
        <v>0</v>
      </c>
      <c r="C1" s="6" t="s">
        <v>78</v>
      </c>
      <c r="D1" s="6" t="s">
        <v>79</v>
      </c>
      <c r="E1" s="6" t="s">
        <v>80</v>
      </c>
      <c r="F1" s="6" t="s">
        <v>81</v>
      </c>
      <c r="G1" s="6" t="s">
        <v>82</v>
      </c>
      <c r="H1" s="6" t="s">
        <v>83</v>
      </c>
    </row>
    <row r="2" spans="1:8" ht="22" x14ac:dyDescent="0.3">
      <c r="A2" s="7" t="s">
        <v>85</v>
      </c>
      <c r="B2" s="7" t="s">
        <v>97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IFERROR(Tabelle1[[#This Row],[Accomplished Story Points]]/Tabelle1[[#This Row],[Actual Hours]],0)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2" x14ac:dyDescent="0.3">
      <c r="A3" s="7" t="s">
        <v>86</v>
      </c>
      <c r="B3" s="7" t="s">
        <v>127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IFERROR(Tabelle1[[#This Row],[Accomplished Story Points]]/Tabelle1[[#This Row],[Actual Hours]],0)</f>
        <v>0.70588235294117652</v>
      </c>
      <c r="G3" s="7">
        <v>146</v>
      </c>
      <c r="H3" s="7">
        <f>Tabelle1[[#This Row],[Total Storypoints]]-Tabelle1[[#This Row],[Accomplished Story Points]]</f>
        <v>122</v>
      </c>
    </row>
    <row r="4" spans="1:8" ht="22" x14ac:dyDescent="0.3">
      <c r="A4" s="7" t="s">
        <v>87</v>
      </c>
      <c r="B4" s="7"/>
      <c r="C4" s="7"/>
      <c r="D4" s="7"/>
      <c r="E4" s="7"/>
      <c r="F4" s="7">
        <f>IFERROR(Tabelle1[[#This Row],[Accomplished Story Points]]/Tabelle1[[#This Row],[Actual Hours]],0)</f>
        <v>0</v>
      </c>
      <c r="G4" s="7"/>
      <c r="H4" s="7">
        <f>Tabelle1[[#This Row],[Total Storypoints]]-Tabelle1[[#This Row],[Accomplished Story Points]]</f>
        <v>0</v>
      </c>
    </row>
    <row r="5" spans="1:8" ht="22" x14ac:dyDescent="0.3">
      <c r="A5" s="7" t="s">
        <v>88</v>
      </c>
      <c r="B5" s="7"/>
      <c r="C5" s="7"/>
      <c r="D5" s="7"/>
      <c r="E5" s="7"/>
      <c r="F5" s="7">
        <f>IFERROR(Tabelle1[[#This Row],[Accomplished Story Points]]/Tabelle1[[#This Row],[Actual Hours]],0)</f>
        <v>0</v>
      </c>
      <c r="G5" s="7"/>
      <c r="H5" s="7">
        <f>Tabelle1[[#This Row],[Total Storypoints]]-Tabelle1[[#This Row],[Accomplished Story Points]]</f>
        <v>0</v>
      </c>
    </row>
    <row r="6" spans="1:8" ht="22" x14ac:dyDescent="0.3">
      <c r="A6" s="7" t="s">
        <v>89</v>
      </c>
      <c r="B6" s="7"/>
      <c r="C6" s="7"/>
      <c r="D6" s="7"/>
      <c r="E6" s="7"/>
      <c r="F6" s="7">
        <f>IFERROR(Tabelle1[[#This Row],[Accomplished Story Points]]/Tabelle1[[#This Row],[Actual Hours]],0)</f>
        <v>0</v>
      </c>
      <c r="G6" s="7"/>
      <c r="H6" s="7">
        <f>Tabelle1[[#This Row],[Total Storypoints]]-Tabelle1[[#This Row],[Accomplished Story Points]]</f>
        <v>0</v>
      </c>
    </row>
    <row r="7" spans="1:8" ht="22" x14ac:dyDescent="0.3">
      <c r="A7" s="7" t="s">
        <v>90</v>
      </c>
      <c r="B7" s="7"/>
      <c r="C7" s="7"/>
      <c r="D7" s="7"/>
      <c r="E7" s="7"/>
      <c r="F7" s="7">
        <f>IFERROR(Tabelle1[[#This Row],[Accomplished Story Points]]/Tabelle1[[#This Row],[Actual Hours]],0)</f>
        <v>0</v>
      </c>
      <c r="G7" s="7"/>
      <c r="H7" s="7">
        <f>Tabelle1[[#This Row],[Total Storypoints]]-Tabelle1[[#This Row],[Accomplished Story Points]]</f>
        <v>0</v>
      </c>
    </row>
    <row r="8" spans="1:8" ht="22" x14ac:dyDescent="0.3">
      <c r="A8" s="7" t="s">
        <v>91</v>
      </c>
      <c r="B8" s="7"/>
      <c r="C8" s="7"/>
      <c r="D8" s="7"/>
      <c r="E8" s="7"/>
      <c r="F8" s="7">
        <f>IFERROR(Tabelle1[[#This Row],[Accomplished Story Points]]/Tabelle1[[#This Row],[Actual Hours]],0)</f>
        <v>0</v>
      </c>
      <c r="G8" s="7"/>
      <c r="H8" s="7">
        <f>Tabelle1[[#This Row],[Total Storypoints]]-Tabelle1[[#This Row],[Accomplished Story Points]]</f>
        <v>0</v>
      </c>
    </row>
    <row r="12" spans="1:8" ht="24" x14ac:dyDescent="0.3">
      <c r="B12" s="1" t="s">
        <v>92</v>
      </c>
      <c r="C12" s="5">
        <v>146</v>
      </c>
    </row>
    <row r="13" spans="1:8" ht="24" x14ac:dyDescent="0.3">
      <c r="B13" s="1" t="s">
        <v>133</v>
      </c>
      <c r="C13" s="5">
        <f>C12-SUM(Tabelle1[Accomplished Story Points])</f>
        <v>122</v>
      </c>
    </row>
    <row r="14" spans="1:8" ht="24" x14ac:dyDescent="0.3">
      <c r="B14" s="1" t="s">
        <v>96</v>
      </c>
      <c r="C14" s="5">
        <f>COUNTIF(Tabelle1[Sprint],"*Sprint*")</f>
        <v>7</v>
      </c>
    </row>
    <row r="15" spans="1:8" ht="24" x14ac:dyDescent="0.3">
      <c r="B15" s="1" t="s">
        <v>93</v>
      </c>
      <c r="C15" s="5">
        <f>AVERAGE(Tabelle1[Velocity])</f>
        <v>0.10084033613445378</v>
      </c>
    </row>
    <row r="16" spans="1:8" ht="24" x14ac:dyDescent="0.3">
      <c r="B16" s="1" t="s">
        <v>94</v>
      </c>
      <c r="C16" s="14">
        <f>(SUM(Tabelle1[Accomplished Story Points],)/G2)</f>
        <v>0.16438356164383561</v>
      </c>
    </row>
    <row r="17" spans="2:4" ht="24" x14ac:dyDescent="0.3">
      <c r="B17" s="1" t="s">
        <v>84</v>
      </c>
      <c r="C17" s="18">
        <f>C13/C15</f>
        <v>1209.8333333333333</v>
      </c>
      <c r="D17">
        <f>C17/3</f>
        <v>403.27777777777777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5" x14ac:dyDescent="0.2"/>
  <cols>
    <col min="1" max="1" width="19.6640625" bestFit="1" customWidth="1"/>
    <col min="2" max="2" width="15.83203125" bestFit="1" customWidth="1"/>
    <col min="3" max="3" width="9.33203125" bestFit="1" customWidth="1"/>
    <col min="4" max="4" width="6.83203125" bestFit="1" customWidth="1"/>
    <col min="5" max="5" width="33.83203125" bestFit="1" customWidth="1"/>
    <col min="6" max="6" width="27.5" bestFit="1" customWidth="1"/>
    <col min="7" max="7" width="19.6640625" bestFit="1" customWidth="1"/>
    <col min="8" max="8" width="95.33203125" bestFit="1" customWidth="1"/>
    <col min="9" max="9" width="16.33203125" bestFit="1" customWidth="1"/>
    <col min="10" max="10" width="18.1640625" bestFit="1" customWidth="1"/>
  </cols>
  <sheetData>
    <row r="1" spans="1:10" ht="19" x14ac:dyDescent="0.2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</row>
    <row r="2" spans="1:10" ht="19" x14ac:dyDescent="0.25">
      <c r="A2" s="9">
        <v>45925</v>
      </c>
      <c r="B2" s="9">
        <v>45932</v>
      </c>
      <c r="C2" s="8" t="s">
        <v>105</v>
      </c>
      <c r="D2" s="10"/>
      <c r="E2" s="8" t="s">
        <v>97</v>
      </c>
      <c r="F2" s="11" t="s">
        <v>114</v>
      </c>
      <c r="G2" s="8">
        <v>2</v>
      </c>
      <c r="H2" s="8" t="s">
        <v>113</v>
      </c>
      <c r="I2" s="10" t="s">
        <v>106</v>
      </c>
      <c r="J2" s="8">
        <v>2</v>
      </c>
    </row>
    <row r="3" spans="1:10" ht="19" x14ac:dyDescent="0.25">
      <c r="A3" s="8"/>
      <c r="B3" s="8"/>
      <c r="C3" s="8" t="s">
        <v>105</v>
      </c>
      <c r="D3" s="8"/>
      <c r="E3" s="8"/>
      <c r="F3" s="8" t="s">
        <v>115</v>
      </c>
      <c r="G3" s="8">
        <v>4</v>
      </c>
      <c r="H3" s="8" t="s">
        <v>107</v>
      </c>
      <c r="I3" s="8"/>
      <c r="J3" s="8">
        <v>4</v>
      </c>
    </row>
    <row r="4" spans="1:10" ht="19" x14ac:dyDescent="0.25">
      <c r="A4" s="8"/>
      <c r="B4" s="8"/>
      <c r="C4" s="8" t="s">
        <v>105</v>
      </c>
      <c r="D4" s="8"/>
      <c r="E4" s="8"/>
      <c r="F4" s="8" t="s">
        <v>116</v>
      </c>
      <c r="G4" s="8">
        <v>1</v>
      </c>
      <c r="H4" s="8"/>
      <c r="I4" s="8"/>
      <c r="J4" s="8">
        <v>3</v>
      </c>
    </row>
    <row r="5" spans="1:10" ht="19" x14ac:dyDescent="0.2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9" x14ac:dyDescent="0.25">
      <c r="A6" s="8"/>
      <c r="B6" s="8"/>
      <c r="C6" s="8" t="s">
        <v>105</v>
      </c>
      <c r="D6" s="8" t="s">
        <v>6</v>
      </c>
      <c r="E6" s="8" t="s">
        <v>119</v>
      </c>
      <c r="F6" s="8" t="s">
        <v>120</v>
      </c>
      <c r="G6" s="8">
        <v>2</v>
      </c>
      <c r="H6" s="8" t="s">
        <v>122</v>
      </c>
      <c r="I6" s="8">
        <v>0</v>
      </c>
      <c r="J6" s="8">
        <v>2</v>
      </c>
    </row>
    <row r="7" spans="1:10" ht="19" x14ac:dyDescent="0.25">
      <c r="A7" s="8"/>
      <c r="B7" s="8"/>
      <c r="C7" s="8" t="s">
        <v>105</v>
      </c>
      <c r="D7" s="8" t="s">
        <v>6</v>
      </c>
      <c r="E7" s="8" t="s">
        <v>119</v>
      </c>
      <c r="F7" s="8" t="s">
        <v>121</v>
      </c>
      <c r="G7" s="8">
        <v>3</v>
      </c>
      <c r="H7" s="8" t="s">
        <v>123</v>
      </c>
      <c r="I7" s="8"/>
      <c r="J7" s="8">
        <v>5</v>
      </c>
    </row>
    <row r="8" spans="1:10" ht="19" x14ac:dyDescent="0.25">
      <c r="A8" s="8"/>
      <c r="B8" s="8"/>
      <c r="C8" s="8" t="s">
        <v>105</v>
      </c>
      <c r="D8" s="8" t="s">
        <v>6</v>
      </c>
      <c r="E8" s="8" t="s">
        <v>119</v>
      </c>
      <c r="F8" s="8" t="s">
        <v>124</v>
      </c>
      <c r="G8" s="8">
        <v>1</v>
      </c>
      <c r="H8" s="8"/>
      <c r="I8" s="8"/>
      <c r="J8" s="8">
        <v>1</v>
      </c>
    </row>
    <row r="9" spans="1:10" ht="19" x14ac:dyDescent="0.2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9" x14ac:dyDescent="0.2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9" x14ac:dyDescent="0.2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9" x14ac:dyDescent="0.25">
      <c r="A15" s="13" t="s">
        <v>108</v>
      </c>
      <c r="B15" s="13" t="s">
        <v>109</v>
      </c>
      <c r="C15" s="13" t="s">
        <v>110</v>
      </c>
      <c r="D15" s="8"/>
      <c r="E15" s="13" t="s">
        <v>117</v>
      </c>
      <c r="F15" s="13" t="s">
        <v>118</v>
      </c>
      <c r="G15" s="8"/>
      <c r="H15" s="8"/>
      <c r="I15" s="8"/>
      <c r="J15" s="8"/>
    </row>
    <row r="16" spans="1:10" ht="19" x14ac:dyDescent="0.2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7"/>
  <sheetViews>
    <sheetView workbookViewId="0">
      <selection activeCell="F5" sqref="F5"/>
    </sheetView>
  </sheetViews>
  <sheetFormatPr baseColWidth="10" defaultRowHeight="15" x14ac:dyDescent="0.2"/>
  <cols>
    <col min="1" max="1" width="9.5" bestFit="1" customWidth="1"/>
    <col min="2" max="2" width="16" bestFit="1" customWidth="1"/>
    <col min="3" max="3" width="9.6640625" customWidth="1"/>
    <col min="4" max="4" width="61.1640625" bestFit="1" customWidth="1"/>
    <col min="5" max="5" width="14.1640625" bestFit="1" customWidth="1"/>
    <col min="6" max="6" width="13" bestFit="1" customWidth="1"/>
    <col min="7" max="7" width="8.1640625" bestFit="1" customWidth="1"/>
  </cols>
  <sheetData>
    <row r="1" spans="1:9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95</v>
      </c>
      <c r="G1" s="3" t="s">
        <v>5</v>
      </c>
      <c r="I1" s="17"/>
    </row>
    <row r="2" spans="1:9" x14ac:dyDescent="0.2">
      <c r="A2" s="2" t="s">
        <v>6</v>
      </c>
      <c r="B2" s="15" t="s">
        <v>7</v>
      </c>
      <c r="C2" s="2">
        <v>1</v>
      </c>
      <c r="D2" s="2" t="s">
        <v>8</v>
      </c>
      <c r="E2" s="2" t="s">
        <v>136</v>
      </c>
      <c r="F2" s="2">
        <v>5</v>
      </c>
      <c r="G2" s="2">
        <v>1</v>
      </c>
      <c r="I2" s="17"/>
    </row>
    <row r="3" spans="1:9" x14ac:dyDescent="0.2">
      <c r="A3" s="2" t="s">
        <v>10</v>
      </c>
      <c r="B3" s="15" t="s">
        <v>125</v>
      </c>
      <c r="C3" s="2">
        <v>2</v>
      </c>
      <c r="D3" s="2" t="s">
        <v>126</v>
      </c>
      <c r="E3" s="2" t="s">
        <v>9</v>
      </c>
      <c r="F3" s="2">
        <v>8</v>
      </c>
      <c r="G3" s="2"/>
      <c r="I3" s="17"/>
    </row>
    <row r="4" spans="1:9" x14ac:dyDescent="0.2">
      <c r="A4" s="2" t="s">
        <v>11</v>
      </c>
      <c r="B4" s="15" t="s">
        <v>12</v>
      </c>
      <c r="C4" s="2">
        <v>1</v>
      </c>
      <c r="D4" s="2" t="s">
        <v>137</v>
      </c>
      <c r="E4" s="2" t="s">
        <v>136</v>
      </c>
      <c r="F4" s="2">
        <v>8</v>
      </c>
      <c r="G4" s="2"/>
      <c r="I4" s="17"/>
    </row>
    <row r="5" spans="1:9" x14ac:dyDescent="0.2">
      <c r="A5" s="2" t="s">
        <v>13</v>
      </c>
      <c r="B5" s="15" t="s">
        <v>14</v>
      </c>
      <c r="C5" s="2">
        <v>3</v>
      </c>
      <c r="D5" s="2" t="s">
        <v>15</v>
      </c>
      <c r="E5" s="2" t="s">
        <v>9</v>
      </c>
      <c r="F5" s="2">
        <v>5</v>
      </c>
      <c r="G5" s="2"/>
      <c r="I5" s="17"/>
    </row>
    <row r="6" spans="1:9" x14ac:dyDescent="0.2">
      <c r="A6" s="2" t="s">
        <v>16</v>
      </c>
      <c r="B6" s="15" t="s">
        <v>14</v>
      </c>
      <c r="C6" s="2">
        <v>4</v>
      </c>
      <c r="D6" s="2" t="s">
        <v>17</v>
      </c>
      <c r="E6" s="2" t="s">
        <v>9</v>
      </c>
      <c r="F6" s="2">
        <v>4</v>
      </c>
      <c r="G6" s="2"/>
      <c r="I6" s="17"/>
    </row>
    <row r="7" spans="1:9" x14ac:dyDescent="0.2">
      <c r="A7" s="2" t="s">
        <v>18</v>
      </c>
      <c r="B7" s="15" t="s">
        <v>19</v>
      </c>
      <c r="C7" s="2">
        <v>2</v>
      </c>
      <c r="D7" s="2" t="s">
        <v>20</v>
      </c>
      <c r="E7" s="2" t="s">
        <v>9</v>
      </c>
      <c r="F7" s="2">
        <v>6</v>
      </c>
      <c r="G7" s="2"/>
      <c r="I7" s="17"/>
    </row>
    <row r="8" spans="1:9" x14ac:dyDescent="0.2">
      <c r="A8" s="2" t="s">
        <v>21</v>
      </c>
      <c r="B8" s="15" t="s">
        <v>22</v>
      </c>
      <c r="C8" s="2">
        <v>6</v>
      </c>
      <c r="D8" s="2" t="s">
        <v>23</v>
      </c>
      <c r="E8" s="2" t="s">
        <v>9</v>
      </c>
      <c r="F8" s="2">
        <v>7</v>
      </c>
      <c r="G8" s="2"/>
      <c r="I8" s="17"/>
    </row>
    <row r="9" spans="1:9" x14ac:dyDescent="0.2">
      <c r="A9" s="2" t="s">
        <v>24</v>
      </c>
      <c r="B9" s="15" t="s">
        <v>25</v>
      </c>
      <c r="C9" s="2">
        <v>5</v>
      </c>
      <c r="D9" s="2" t="s">
        <v>26</v>
      </c>
      <c r="E9" s="2" t="s">
        <v>9</v>
      </c>
      <c r="F9" s="2">
        <v>4</v>
      </c>
      <c r="G9" s="2"/>
      <c r="I9" s="17"/>
    </row>
    <row r="10" spans="1:9" x14ac:dyDescent="0.2">
      <c r="A10" s="2" t="s">
        <v>27</v>
      </c>
      <c r="B10" s="15" t="s">
        <v>28</v>
      </c>
      <c r="C10" s="2">
        <v>8</v>
      </c>
      <c r="D10" s="2" t="s">
        <v>29</v>
      </c>
      <c r="E10" s="2" t="s">
        <v>9</v>
      </c>
      <c r="F10" s="2">
        <v>8</v>
      </c>
      <c r="G10" s="2"/>
      <c r="I10" s="17"/>
    </row>
    <row r="11" spans="1:9" x14ac:dyDescent="0.2">
      <c r="A11" s="2" t="s">
        <v>30</v>
      </c>
      <c r="B11" s="15" t="s">
        <v>31</v>
      </c>
      <c r="C11" s="2">
        <v>7</v>
      </c>
      <c r="D11" s="2" t="s">
        <v>32</v>
      </c>
      <c r="E11" s="2" t="s">
        <v>9</v>
      </c>
      <c r="F11" s="2">
        <v>5</v>
      </c>
      <c r="G11" s="2"/>
      <c r="I11" s="17"/>
    </row>
    <row r="12" spans="1:9" x14ac:dyDescent="0.2">
      <c r="A12" s="2" t="s">
        <v>33</v>
      </c>
      <c r="B12" s="15" t="s">
        <v>34</v>
      </c>
      <c r="C12" s="2">
        <v>3</v>
      </c>
      <c r="D12" s="2" t="s">
        <v>35</v>
      </c>
      <c r="E12" s="2" t="s">
        <v>9</v>
      </c>
      <c r="F12" s="2">
        <v>6</v>
      </c>
      <c r="G12" s="2"/>
      <c r="I12" s="17"/>
    </row>
    <row r="13" spans="1:9" x14ac:dyDescent="0.2">
      <c r="A13" s="2" t="s">
        <v>36</v>
      </c>
      <c r="B13" s="15" t="s">
        <v>37</v>
      </c>
      <c r="C13" s="2">
        <v>9</v>
      </c>
      <c r="D13" s="2" t="s">
        <v>38</v>
      </c>
      <c r="E13" s="2" t="s">
        <v>9</v>
      </c>
      <c r="F13" s="2">
        <v>3</v>
      </c>
      <c r="G13" s="2"/>
      <c r="I13" s="17"/>
    </row>
    <row r="14" spans="1:9" x14ac:dyDescent="0.2">
      <c r="A14" s="2" t="s">
        <v>39</v>
      </c>
      <c r="B14" s="15" t="s">
        <v>40</v>
      </c>
      <c r="C14" s="2">
        <v>4</v>
      </c>
      <c r="D14" s="2" t="s">
        <v>41</v>
      </c>
      <c r="E14" s="2" t="s">
        <v>9</v>
      </c>
      <c r="F14" s="2">
        <v>7</v>
      </c>
      <c r="G14" s="2"/>
      <c r="I14" s="17"/>
    </row>
    <row r="15" spans="1:9" x14ac:dyDescent="0.2">
      <c r="A15" s="2" t="s">
        <v>42</v>
      </c>
      <c r="B15" s="15" t="s">
        <v>43</v>
      </c>
      <c r="C15" s="2">
        <v>10</v>
      </c>
      <c r="D15" s="2" t="s">
        <v>44</v>
      </c>
      <c r="E15" s="2" t="s">
        <v>9</v>
      </c>
      <c r="F15" s="2">
        <v>4</v>
      </c>
      <c r="G15" s="2"/>
      <c r="I15" s="17"/>
    </row>
    <row r="16" spans="1:9" x14ac:dyDescent="0.2">
      <c r="A16" s="2" t="s">
        <v>45</v>
      </c>
      <c r="B16" s="15" t="s">
        <v>46</v>
      </c>
      <c r="C16" s="2">
        <v>11</v>
      </c>
      <c r="D16" s="2" t="s">
        <v>47</v>
      </c>
      <c r="E16" s="2" t="s">
        <v>9</v>
      </c>
      <c r="F16" s="2">
        <v>5</v>
      </c>
      <c r="G16" s="2"/>
      <c r="I16" s="17"/>
    </row>
    <row r="17" spans="1:9" x14ac:dyDescent="0.2">
      <c r="A17" s="2" t="s">
        <v>48</v>
      </c>
      <c r="B17" s="15" t="s">
        <v>49</v>
      </c>
      <c r="C17" s="2">
        <v>6</v>
      </c>
      <c r="D17" s="2" t="s">
        <v>50</v>
      </c>
      <c r="E17" s="2" t="s">
        <v>9</v>
      </c>
      <c r="F17" s="2">
        <v>8</v>
      </c>
      <c r="G17" s="2"/>
      <c r="I17" s="17"/>
    </row>
    <row r="18" spans="1:9" x14ac:dyDescent="0.2">
      <c r="A18" s="2" t="s">
        <v>51</v>
      </c>
      <c r="B18" s="15" t="s">
        <v>52</v>
      </c>
      <c r="C18" s="2">
        <v>12</v>
      </c>
      <c r="D18" s="2" t="s">
        <v>53</v>
      </c>
      <c r="E18" s="2" t="s">
        <v>9</v>
      </c>
      <c r="F18" s="2">
        <v>6</v>
      </c>
      <c r="G18" s="2"/>
      <c r="I18" s="17"/>
    </row>
    <row r="19" spans="1:9" x14ac:dyDescent="0.2">
      <c r="A19" s="2" t="s">
        <v>54</v>
      </c>
      <c r="B19" s="15" t="s">
        <v>55</v>
      </c>
      <c r="C19" s="2">
        <v>1</v>
      </c>
      <c r="D19" s="2" t="s">
        <v>56</v>
      </c>
      <c r="E19" s="2" t="s">
        <v>9</v>
      </c>
      <c r="F19" s="2">
        <v>3</v>
      </c>
      <c r="G19" s="2"/>
      <c r="I19" s="17"/>
    </row>
    <row r="20" spans="1:9" x14ac:dyDescent="0.2">
      <c r="A20" s="2" t="s">
        <v>57</v>
      </c>
      <c r="B20" s="15" t="s">
        <v>58</v>
      </c>
      <c r="C20" s="2">
        <v>13</v>
      </c>
      <c r="D20" s="2" t="s">
        <v>59</v>
      </c>
      <c r="E20" s="2" t="s">
        <v>9</v>
      </c>
      <c r="F20" s="2">
        <v>5</v>
      </c>
      <c r="G20" s="2"/>
      <c r="I20" s="17"/>
    </row>
    <row r="21" spans="1:9" x14ac:dyDescent="0.2">
      <c r="A21" s="2" t="s">
        <v>60</v>
      </c>
      <c r="B21" s="15" t="s">
        <v>61</v>
      </c>
      <c r="C21" s="2">
        <v>8</v>
      </c>
      <c r="D21" s="2" t="s">
        <v>62</v>
      </c>
      <c r="E21" s="2" t="s">
        <v>140</v>
      </c>
      <c r="F21" s="2">
        <v>9</v>
      </c>
      <c r="G21" s="2">
        <v>2</v>
      </c>
      <c r="I21" s="17"/>
    </row>
    <row r="22" spans="1:9" x14ac:dyDescent="0.2">
      <c r="A22" s="2" t="s">
        <v>63</v>
      </c>
      <c r="B22" s="15" t="s">
        <v>64</v>
      </c>
      <c r="C22" s="2">
        <v>14</v>
      </c>
      <c r="D22" s="2" t="s">
        <v>65</v>
      </c>
      <c r="E22" s="2" t="s">
        <v>9</v>
      </c>
      <c r="F22" s="2">
        <v>4</v>
      </c>
      <c r="G22" s="2"/>
      <c r="I22" s="17"/>
    </row>
    <row r="23" spans="1:9" x14ac:dyDescent="0.2">
      <c r="A23" s="2" t="s">
        <v>66</v>
      </c>
      <c r="B23" s="15" t="s">
        <v>67</v>
      </c>
      <c r="C23" s="2">
        <v>5</v>
      </c>
      <c r="D23" s="2" t="s">
        <v>68</v>
      </c>
      <c r="E23" s="2" t="s">
        <v>9</v>
      </c>
      <c r="F23" s="2">
        <v>9</v>
      </c>
      <c r="G23" s="2"/>
      <c r="I23" s="17"/>
    </row>
    <row r="24" spans="1:9" x14ac:dyDescent="0.2">
      <c r="A24" s="2" t="s">
        <v>69</v>
      </c>
      <c r="B24" s="15" t="s">
        <v>70</v>
      </c>
      <c r="C24" s="2">
        <v>15</v>
      </c>
      <c r="D24" s="2" t="s">
        <v>71</v>
      </c>
      <c r="E24" s="2" t="s">
        <v>9</v>
      </c>
      <c r="F24" s="2">
        <v>6</v>
      </c>
      <c r="G24" s="2"/>
      <c r="I24" s="17"/>
    </row>
    <row r="25" spans="1:9" x14ac:dyDescent="0.2">
      <c r="A25" s="2" t="s">
        <v>72</v>
      </c>
      <c r="B25" s="15" t="s">
        <v>73</v>
      </c>
      <c r="C25" s="2">
        <v>7</v>
      </c>
      <c r="D25" s="2" t="s">
        <v>74</v>
      </c>
      <c r="E25" s="2" t="s">
        <v>9</v>
      </c>
      <c r="F25" s="2">
        <v>4</v>
      </c>
      <c r="G25" s="2"/>
      <c r="I25" s="17"/>
    </row>
    <row r="26" spans="1:9" x14ac:dyDescent="0.2">
      <c r="A26" s="2" t="s">
        <v>75</v>
      </c>
      <c r="B26" s="15" t="s">
        <v>76</v>
      </c>
      <c r="C26" s="2">
        <v>16</v>
      </c>
      <c r="D26" s="2" t="s">
        <v>77</v>
      </c>
      <c r="E26" s="2" t="s">
        <v>9</v>
      </c>
      <c r="F26" s="2">
        <v>7</v>
      </c>
      <c r="G26" s="2"/>
      <c r="I26" s="17"/>
    </row>
    <row r="27" spans="1:9" x14ac:dyDescent="0.2">
      <c r="A27" s="4"/>
      <c r="B27" s="16"/>
      <c r="C27" s="4"/>
      <c r="D27" s="4"/>
      <c r="E27" s="4"/>
      <c r="F27" s="4">
        <f>SUM(F2:F26)</f>
        <v>146</v>
      </c>
      <c r="G27" s="4"/>
    </row>
  </sheetData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zoomScale="85" zoomScaleNormal="85" workbookViewId="0">
      <selection activeCell="I14" sqref="I14"/>
    </sheetView>
  </sheetViews>
  <sheetFormatPr baseColWidth="10" defaultRowHeight="15" x14ac:dyDescent="0.2"/>
  <cols>
    <col min="1" max="1" width="19.33203125" bestFit="1" customWidth="1"/>
    <col min="2" max="2" width="15.5" bestFit="1" customWidth="1"/>
    <col min="3" max="3" width="9.33203125" bestFit="1" customWidth="1"/>
    <col min="4" max="4" width="7.83203125" bestFit="1" customWidth="1"/>
    <col min="5" max="5" width="21" bestFit="1" customWidth="1"/>
    <col min="6" max="6" width="124.33203125" bestFit="1" customWidth="1"/>
    <col min="7" max="7" width="19.33203125" bestFit="1" customWidth="1"/>
    <col min="8" max="8" width="164.1640625" bestFit="1" customWidth="1"/>
    <col min="9" max="9" width="15.6640625" bestFit="1" customWidth="1"/>
    <col min="10" max="10" width="17.5" bestFit="1" customWidth="1"/>
    <col min="11" max="11" width="22" customWidth="1"/>
  </cols>
  <sheetData>
    <row r="1" spans="1:11" ht="19" x14ac:dyDescent="0.25">
      <c r="A1" s="8" t="s">
        <v>98</v>
      </c>
      <c r="B1" s="8" t="s">
        <v>99</v>
      </c>
      <c r="C1" s="8" t="s">
        <v>100</v>
      </c>
      <c r="D1" s="8" t="s">
        <v>101</v>
      </c>
      <c r="E1" s="8" t="s">
        <v>112</v>
      </c>
      <c r="F1" s="8" t="s">
        <v>111</v>
      </c>
      <c r="G1" s="8" t="s">
        <v>108</v>
      </c>
      <c r="H1" s="8" t="s">
        <v>104</v>
      </c>
      <c r="I1" s="8" t="s">
        <v>102</v>
      </c>
      <c r="J1" s="8" t="s">
        <v>103</v>
      </c>
      <c r="K1" s="8" t="s">
        <v>4</v>
      </c>
    </row>
    <row r="2" spans="1:11" ht="19" x14ac:dyDescent="0.25">
      <c r="A2" s="9">
        <v>45939</v>
      </c>
      <c r="B2" s="9">
        <v>45953</v>
      </c>
      <c r="C2" s="8" t="s">
        <v>105</v>
      </c>
      <c r="D2" s="8" t="s">
        <v>6</v>
      </c>
      <c r="E2" s="8" t="s">
        <v>119</v>
      </c>
      <c r="F2" s="8" t="s">
        <v>121</v>
      </c>
      <c r="G2" s="8">
        <v>2</v>
      </c>
      <c r="H2" s="8" t="s">
        <v>128</v>
      </c>
      <c r="I2" s="10">
        <v>5</v>
      </c>
      <c r="J2" s="8">
        <v>2</v>
      </c>
      <c r="K2" s="19" t="s">
        <v>136</v>
      </c>
    </row>
    <row r="3" spans="1:11" ht="19" x14ac:dyDescent="0.25">
      <c r="A3" s="8"/>
      <c r="B3" s="8"/>
      <c r="C3" s="8" t="s">
        <v>105</v>
      </c>
      <c r="D3" s="10" t="s">
        <v>106</v>
      </c>
      <c r="E3" s="8" t="s">
        <v>129</v>
      </c>
      <c r="F3" s="10" t="s">
        <v>106</v>
      </c>
      <c r="G3" s="8">
        <v>1</v>
      </c>
      <c r="H3" s="8" t="s">
        <v>130</v>
      </c>
      <c r="I3" s="8"/>
      <c r="J3" s="8">
        <v>1</v>
      </c>
      <c r="K3" s="19" t="s">
        <v>136</v>
      </c>
    </row>
    <row r="4" spans="1:11" ht="19" x14ac:dyDescent="0.2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9" x14ac:dyDescent="0.25">
      <c r="A5" s="8"/>
      <c r="B5" s="8"/>
      <c r="C5" s="8" t="s">
        <v>105</v>
      </c>
      <c r="D5" s="8" t="s">
        <v>11</v>
      </c>
      <c r="E5" s="8" t="s">
        <v>12</v>
      </c>
      <c r="F5" s="8" t="s">
        <v>131</v>
      </c>
      <c r="G5" s="8">
        <v>5</v>
      </c>
      <c r="H5" s="8" t="s">
        <v>132</v>
      </c>
      <c r="I5" s="8">
        <v>8</v>
      </c>
      <c r="J5" s="8">
        <v>6</v>
      </c>
      <c r="K5" s="19"/>
    </row>
    <row r="6" spans="1:11" ht="19" x14ac:dyDescent="0.25">
      <c r="A6" s="8"/>
      <c r="B6" s="8"/>
      <c r="C6" s="8" t="s">
        <v>105</v>
      </c>
      <c r="D6" s="8" t="s">
        <v>13</v>
      </c>
      <c r="E6" s="8" t="s">
        <v>14</v>
      </c>
      <c r="F6" s="8" t="s">
        <v>134</v>
      </c>
      <c r="G6" s="8">
        <v>4</v>
      </c>
      <c r="H6" s="8" t="s">
        <v>135</v>
      </c>
      <c r="I6" s="8">
        <v>5</v>
      </c>
      <c r="J6" s="8"/>
      <c r="K6" s="19" t="s">
        <v>136</v>
      </c>
    </row>
    <row r="7" spans="1:11" ht="19" x14ac:dyDescent="0.2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9" x14ac:dyDescent="0.2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9" x14ac:dyDescent="0.25">
      <c r="A9" s="8"/>
      <c r="B9" s="8"/>
      <c r="C9" s="8" t="s">
        <v>138</v>
      </c>
      <c r="D9" s="8" t="s">
        <v>60</v>
      </c>
      <c r="E9" s="8" t="s">
        <v>61</v>
      </c>
      <c r="F9" s="8" t="s">
        <v>141</v>
      </c>
      <c r="G9" s="8">
        <v>10</v>
      </c>
      <c r="H9" s="8" t="s">
        <v>142</v>
      </c>
      <c r="I9" s="8">
        <v>3</v>
      </c>
      <c r="J9" s="8">
        <v>15</v>
      </c>
      <c r="K9" s="19" t="s">
        <v>136</v>
      </c>
    </row>
    <row r="10" spans="1:11" ht="19" x14ac:dyDescent="0.25">
      <c r="A10" s="8"/>
      <c r="B10" s="8"/>
      <c r="C10" s="8" t="s">
        <v>138</v>
      </c>
      <c r="D10" s="8" t="s">
        <v>60</v>
      </c>
      <c r="E10" s="8" t="s">
        <v>61</v>
      </c>
      <c r="F10" s="8" t="s">
        <v>143</v>
      </c>
      <c r="G10" s="8">
        <v>15</v>
      </c>
      <c r="H10" s="8" t="s">
        <v>144</v>
      </c>
      <c r="I10" s="8">
        <v>3</v>
      </c>
      <c r="J10" s="8">
        <v>10</v>
      </c>
      <c r="K10" s="19" t="s">
        <v>136</v>
      </c>
    </row>
    <row r="11" spans="1:11" ht="19" x14ac:dyDescent="0.25">
      <c r="A11" s="8"/>
      <c r="B11" s="8"/>
      <c r="C11" s="8" t="s">
        <v>138</v>
      </c>
      <c r="D11" s="8" t="s">
        <v>60</v>
      </c>
      <c r="E11" s="8" t="s">
        <v>61</v>
      </c>
      <c r="F11" s="8" t="s">
        <v>145</v>
      </c>
      <c r="G11" s="8">
        <v>5</v>
      </c>
      <c r="H11" s="8" t="s">
        <v>146</v>
      </c>
      <c r="I11" s="8"/>
      <c r="J11" s="8"/>
      <c r="K11" s="19" t="s">
        <v>147</v>
      </c>
    </row>
    <row r="12" spans="1:11" ht="19" x14ac:dyDescent="0.2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9" x14ac:dyDescent="0.2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9" x14ac:dyDescent="0.2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9" x14ac:dyDescent="0.2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9" x14ac:dyDescent="0.25">
      <c r="A16" s="13" t="s">
        <v>108</v>
      </c>
      <c r="B16" s="13" t="s">
        <v>109</v>
      </c>
      <c r="C16" s="13" t="s">
        <v>110</v>
      </c>
      <c r="D16" s="8"/>
      <c r="E16" s="13" t="s">
        <v>117</v>
      </c>
      <c r="F16" s="13" t="s">
        <v>139</v>
      </c>
      <c r="G16" s="8"/>
      <c r="H16" s="8"/>
      <c r="I16" s="8"/>
      <c r="J16" s="8"/>
    </row>
    <row r="17" spans="1:10" ht="19" x14ac:dyDescent="0.2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Sprint Dashboard</vt:lpstr>
      <vt:lpstr>Sprint1</vt:lpstr>
      <vt:lpstr>Storys</vt:lpstr>
      <vt:lpstr>Sprint2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Hoheneder Daniel</cp:lastModifiedBy>
  <dcterms:created xsi:type="dcterms:W3CDTF">2025-09-25T17:27:06Z</dcterms:created>
  <dcterms:modified xsi:type="dcterms:W3CDTF">2025-10-23T16:00:06Z</dcterms:modified>
</cp:coreProperties>
</file>