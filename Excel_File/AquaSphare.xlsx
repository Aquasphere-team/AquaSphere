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danielhoheneder/Desktop/Schule/syp/AquaSphere/Excel_File/"/>
    </mc:Choice>
  </mc:AlternateContent>
  <xr:revisionPtr revIDLastSave="0" documentId="13_ncr:1_{167C95B2-D4F4-7C4E-AC15-9845565D49EE}" xr6:coauthVersionLast="47" xr6:coauthVersionMax="47" xr10:uidLastSave="{00000000-0000-0000-0000-000000000000}"/>
  <bookViews>
    <workbookView xWindow="1340" yWindow="1020" windowWidth="25820" windowHeight="15500" activeTab="3" xr2:uid="{3C511D28-10C8-4337-AED7-CFA66BBB7484}"/>
  </bookViews>
  <sheets>
    <sheet name="Sprint Dashboard" sheetId="2" r:id="rId1"/>
    <sheet name="Sprint1" sheetId="3" r:id="rId2"/>
    <sheet name="Storys" sheetId="1" r:id="rId3"/>
    <sheet name="Sprint2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  <c r="E17" i="4"/>
  <c r="E3" i="2" s="1" a="1"/>
  <c r="E3" i="2" s="1"/>
  <c r="C13" i="2" s="1"/>
  <c r="B17" i="4"/>
  <c r="D3" i="2" s="1" a="1"/>
  <c r="D3" i="2" s="1"/>
  <c r="A17" i="4"/>
  <c r="E16" i="3"/>
  <c r="B16" i="3"/>
  <c r="D2" i="2" s="1" a="1"/>
  <c r="D2" i="2" s="1"/>
  <c r="A16" i="3"/>
  <c r="C2" i="2" s="1" a="1"/>
  <c r="C2" i="2" s="1"/>
  <c r="C14" i="2"/>
  <c r="F27" i="1"/>
  <c r="C17" i="4" l="1"/>
  <c r="F17" i="4"/>
  <c r="C3" i="2" a="1"/>
  <c r="C3" i="2" s="1"/>
  <c r="C16" i="2"/>
  <c r="F16" i="3"/>
  <c r="C16" i="3"/>
  <c r="H8" i="2"/>
  <c r="F8" i="2"/>
  <c r="H6" i="2"/>
  <c r="F6" i="2"/>
  <c r="F5" i="2"/>
  <c r="H5" i="2"/>
  <c r="F3" i="2"/>
  <c r="H3" i="2"/>
  <c r="H7" i="2"/>
  <c r="F7" i="2"/>
  <c r="H4" i="2"/>
  <c r="F4" i="2"/>
  <c r="H2" i="2"/>
  <c r="F2" i="2"/>
  <c r="C15" i="2" l="1"/>
  <c r="C1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<sst xmlns="http://schemas.openxmlformats.org/spreadsheetml/2006/main" count="226" uniqueCount="148">
  <si>
    <t>Story ID</t>
  </si>
  <si>
    <t>Title</t>
  </si>
  <si>
    <t>Priority</t>
  </si>
  <si>
    <t>Effort</t>
  </si>
  <si>
    <t>Status</t>
  </si>
  <si>
    <t>Sprint</t>
  </si>
  <si>
    <t>AQU1</t>
  </si>
  <si>
    <t>Aquarium-Ansicht</t>
  </si>
  <si>
    <t>Als Nutzer möchte ich ein virtuelles Aquarium sehen.</t>
  </si>
  <si>
    <t>Not Started</t>
  </si>
  <si>
    <t>AQU2</t>
  </si>
  <si>
    <t>AQU3</t>
  </si>
  <si>
    <t>Grundfunktionen</t>
  </si>
  <si>
    <t>AQU4</t>
  </si>
  <si>
    <t>Dekoration</t>
  </si>
  <si>
    <t>Als Nutzer möchte ich Pflanzen in mein Aquarium setzen.</t>
  </si>
  <si>
    <t>AQU5</t>
  </si>
  <si>
    <t>Als Nutzer möchte ich Steine und Korallen platzieren.</t>
  </si>
  <si>
    <t>AQU6</t>
  </si>
  <si>
    <t>Personalisierung</t>
  </si>
  <si>
    <t>Als Nutzer möchte ich verschiedene Fischarten auswählen.</t>
  </si>
  <si>
    <t>AQU7</t>
  </si>
  <si>
    <t>Gamification</t>
  </si>
  <si>
    <t>Als Nutzer möchte ich neue Fischarten freischalten.</t>
  </si>
  <si>
    <t>AQU8</t>
  </si>
  <si>
    <t>Speichersystem</t>
  </si>
  <si>
    <t>Als Nutzer möchte ich mein Aquarium speichern.</t>
  </si>
  <si>
    <t>AQU9</t>
  </si>
  <si>
    <t>Premium</t>
  </si>
  <si>
    <t>Als Nutzer möchte ich seltene Fischarten kaufen.</t>
  </si>
  <si>
    <t>AQU10</t>
  </si>
  <si>
    <t>Anpassung</t>
  </si>
  <si>
    <t>Als Nutzer möchte ich die Aquarium-Größe ändern.</t>
  </si>
  <si>
    <t>AQU11</t>
  </si>
  <si>
    <t>UI/UX</t>
  </si>
  <si>
    <t>Als Nutzer möchte ich eine intuitive Benutzeroberfläche.</t>
  </si>
  <si>
    <t>AQU12</t>
  </si>
  <si>
    <t>Sound</t>
  </si>
  <si>
    <t>Als Nutzer möchte ich entspannende Hintergrundmusik hören.</t>
  </si>
  <si>
    <t>AQU13</t>
  </si>
  <si>
    <t>Responsive Design</t>
  </si>
  <si>
    <t>Als Nutzer möchte ich die App auf verschiedenen Geräten nutzen.</t>
  </si>
  <si>
    <t>AQU14</t>
  </si>
  <si>
    <t>Community</t>
  </si>
  <si>
    <t>Als Nutzer möchte ich Screenshots meines Aquariums teilen.</t>
  </si>
  <si>
    <t>AQU15</t>
  </si>
  <si>
    <t>Beleuchtung</t>
  </si>
  <si>
    <t>Als Nutzer möchte ich die Aquarium-Beleuchtung ändern.</t>
  </si>
  <si>
    <t>AQU16</t>
  </si>
  <si>
    <t>Performance</t>
  </si>
  <si>
    <t>Als Nutzer möchte ich flüssige Animationen erleben.</t>
  </si>
  <si>
    <t>AQU17</t>
  </si>
  <si>
    <t>Themes</t>
  </si>
  <si>
    <t>Als Nutzer möchte ich verschiedene Aquarium-Themes wählen.</t>
  </si>
  <si>
    <t>AQU18</t>
  </si>
  <si>
    <t>Datenschutz</t>
  </si>
  <si>
    <t>Als Nutzer möchte ich meine Daten geschützt wissen.</t>
  </si>
  <si>
    <t>AQU19</t>
  </si>
  <si>
    <t>Aquarium-Pflege</t>
  </si>
  <si>
    <t>Als Nutzer möchte ich mein Aquarium reinigen können.</t>
  </si>
  <si>
    <t>AQU20</t>
  </si>
  <si>
    <t>Cloud-Sync</t>
  </si>
  <si>
    <t>Als Nutzer möchte ich mein Aquarium geräteübergreifend synchronisieren.</t>
  </si>
  <si>
    <t>AQU21</t>
  </si>
  <si>
    <t>Statistiken</t>
  </si>
  <si>
    <t>Als Nutzer möchte ich Statistiken zu meinem Aquarium sehen.</t>
  </si>
  <si>
    <t>AQU22</t>
  </si>
  <si>
    <t>Fisch-KI</t>
  </si>
  <si>
    <t>Als Nutzer möchte ich realistische Fischverhalten sehen.</t>
  </si>
  <si>
    <t>AQU23</t>
  </si>
  <si>
    <t>Achievements</t>
  </si>
  <si>
    <t>Als Nutzer möchte ich Erfolge freischalten.</t>
  </si>
  <si>
    <t>AQU24</t>
  </si>
  <si>
    <t>Offline-Modus</t>
  </si>
  <si>
    <t>Als Nutzer möchte ich die App ohne Internet nutzen.</t>
  </si>
  <si>
    <t>AQU25</t>
  </si>
  <si>
    <t>Mini-Spiele</t>
  </si>
  <si>
    <t>Als Nutzer möchte ich kleine Spiele im Aquarium spielen.</t>
  </si>
  <si>
    <t>Estimated Hours</t>
  </si>
  <si>
    <t>Actual Hours</t>
  </si>
  <si>
    <t>Accomplished Story Points</t>
  </si>
  <si>
    <t>Velocity</t>
  </si>
  <si>
    <t>Total Storypoints</t>
  </si>
  <si>
    <t>Storypoints Left</t>
  </si>
  <si>
    <t>Estimated Time</t>
  </si>
  <si>
    <t>Sprint 1</t>
  </si>
  <si>
    <t>Sprint 2</t>
  </si>
  <si>
    <t>Sprint 3</t>
  </si>
  <si>
    <t>Sprint 4</t>
  </si>
  <si>
    <t>Sprint 5</t>
  </si>
  <si>
    <t>Sprint 6</t>
  </si>
  <si>
    <t>Sprint 7</t>
  </si>
  <si>
    <t>Total Story Points</t>
  </si>
  <si>
    <t>Average Velocity</t>
  </si>
  <si>
    <t>Project Progress (%)</t>
  </si>
  <si>
    <t>Story Points</t>
  </si>
  <si>
    <t>Sprints Count</t>
  </si>
  <si>
    <t>Excel/Planung/Project Proposal</t>
  </si>
  <si>
    <t>Sprint Start</t>
  </si>
  <si>
    <t>Sprint End</t>
  </si>
  <si>
    <t>User</t>
  </si>
  <si>
    <t>ID</t>
  </si>
  <si>
    <t>Story points</t>
  </si>
  <si>
    <t>Time in Hours</t>
  </si>
  <si>
    <t>COS (Criteria of Satisfaction)</t>
  </si>
  <si>
    <t>RM</t>
  </si>
  <si>
    <t>-</t>
  </si>
  <si>
    <t>Ein optimales Excel-Sheet wird erstellt, um die Fortschritte klar und effizient zu überwachen.</t>
  </si>
  <si>
    <t>Estimated time</t>
  </si>
  <si>
    <t>Actual time</t>
  </si>
  <si>
    <t>Delta</t>
  </si>
  <si>
    <t>User Story /Task</t>
  </si>
  <si>
    <t>Epic</t>
  </si>
  <si>
    <t>Project Proposal ist vollständig.</t>
  </si>
  <si>
    <t>Projekt überlegen</t>
  </si>
  <si>
    <t>Project Proposal erstellen</t>
  </si>
  <si>
    <t>Excel Sheet erstellen</t>
  </si>
  <si>
    <t xml:space="preserve">Total Storypoints </t>
  </si>
  <si>
    <t>Efford/Hour</t>
  </si>
  <si>
    <t xml:space="preserve">Aquarium </t>
  </si>
  <si>
    <t>Aquarium Anzeigen</t>
  </si>
  <si>
    <t>Wasser und Effeckte</t>
  </si>
  <si>
    <t>Ein Aquarium ist vorhanden</t>
  </si>
  <si>
    <t>Wasser befindet sich im aquarium wellen/blasen bewegen sich</t>
  </si>
  <si>
    <t>Buttons für Licht/Füttern..</t>
  </si>
  <si>
    <t>Fisch</t>
  </si>
  <si>
    <t>Als Nutzer möchte ich Fisch in meinem Aquarium schwimmen sehen.</t>
  </si>
  <si>
    <t>Monitoring/AQU1</t>
  </si>
  <si>
    <t>Wasser befindet sich im aquarium wellen oben / steine/erde am boden?</t>
  </si>
  <si>
    <t>Handyansicht</t>
  </si>
  <si>
    <t>Ansicht im Handyformat</t>
  </si>
  <si>
    <t>Profilverwaltung/Anlegen</t>
  </si>
  <si>
    <t>Als nutzer möchte ich mich anmelden und "mein" Aquarium haben</t>
  </si>
  <si>
    <t>Story Points left</t>
  </si>
  <si>
    <t>Pflanzen</t>
  </si>
  <si>
    <t>Als nutzer möchte ich Pflanzen in mein Aquarium Setzen</t>
  </si>
  <si>
    <t>Done</t>
  </si>
  <si>
    <t>Als Nutzer möchte "mein" Aquarium haben</t>
  </si>
  <si>
    <t>DH</t>
  </si>
  <si>
    <t>Effort/Hour</t>
  </si>
  <si>
    <t>Started / not done</t>
  </si>
  <si>
    <t>Als Nutzer möchte ich mein Aquarium geräteübergreifend synchronisieren. / Backend mit Datenbank erstellen</t>
  </si>
  <si>
    <t>Datenbank und Backend erstellt und einsatzbereit</t>
  </si>
  <si>
    <t>Als Nutzer möchte ich mein Aquarium geräteübergreifend synchronisieren. / Zustand speichern und korrekt mit User verknüpfen</t>
  </si>
  <si>
    <t>Zustände müssen universell für offline und online speicherung erstellt werden. Online zustände werden ans Backend übertragen und korrekt mit dem User abgespeichert</t>
  </si>
  <si>
    <t>Als Nutzer möchte ich mein Aquarium geräteübergreifend synchronisieren. / Offline und Online zustände korrekt handlen</t>
  </si>
  <si>
    <t>Wenn der User einsteigt wird überprüft welcher Speicherstand der aktuellste ist und dieser dann heruntergeladen / hochgeladen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</si>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</sst>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81B77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0">
    <xf numFmtId="0" fontId="0" fillId="0" borderId="0" xfId="0"/>
    <xf numFmtId="0" fontId="3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4" fillId="5" borderId="0" xfId="0" applyFont="1" applyFill="1"/>
    <xf numFmtId="0" fontId="5" fillId="4" borderId="0" xfId="0" applyFont="1" applyFill="1"/>
    <xf numFmtId="0" fontId="6" fillId="3" borderId="0" xfId="0" applyFont="1" applyFill="1"/>
    <xf numFmtId="0" fontId="7" fillId="0" borderId="0" xfId="0" applyFont="1"/>
    <xf numFmtId="14" fontId="7" fillId="0" borderId="0" xfId="0" applyNumberFormat="1" applyFont="1"/>
    <xf numFmtId="0" fontId="7" fillId="0" borderId="0" xfId="0" quotePrefix="1" applyFont="1"/>
    <xf numFmtId="15" fontId="7" fillId="0" borderId="0" xfId="0" quotePrefix="1" applyNumberFormat="1" applyFont="1"/>
    <xf numFmtId="0" fontId="7" fillId="6" borderId="0" xfId="0" applyFont="1" applyFill="1"/>
    <xf numFmtId="0" fontId="7" fillId="5" borderId="0" xfId="0" applyFont="1" applyFill="1"/>
    <xf numFmtId="9" fontId="4" fillId="5" borderId="0" xfId="1" applyFont="1" applyFill="1"/>
    <xf numFmtId="0" fontId="0" fillId="3" borderId="1" xfId="0" applyFill="1" applyBorder="1"/>
    <xf numFmtId="0" fontId="0" fillId="5" borderId="1" xfId="0" applyFill="1" applyBorder="1"/>
    <xf numFmtId="0" fontId="0" fillId="0" borderId="1" xfId="0" applyBorder="1"/>
    <xf numFmtId="2" fontId="4" fillId="5" borderId="0" xfId="1" applyNumberFormat="1" applyFont="1" applyFill="1"/>
    <xf numFmtId="0" fontId="9" fillId="0" borderId="0" xfId="0" applyFont="1"/>
  </cellXfs>
  <cellStyles count="2">
    <cellStyle name="Normal" xfId="0" builtinId="0"/>
    <cellStyle name="Percent" xfId="1" builtinId="5"/>
  </cellStyles>
  <dxfs count="62"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  <fill>
        <patternFill patternType="solid">
          <fgColor rgb="FF000000"/>
          <bgColor rgb="FF0F9ED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7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numFmt numFmtId="0" formatCode="General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rgb="FFFFFFFF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41172-5838-4CA9-A8A2-78B1E57ACF1F}" name="Tabelle1" displayName="Tabelle1" ref="A1:H8" totalsRowShown="0" headerRowDxfId="61" dataDxfId="60">
  <autoFilter ref="A1:H8" xr:uid="{AAF41172-5838-4CA9-A8A2-78B1E57ACF1F}"/>
  <tableColumns count="8">
    <tableColumn id="1" xr3:uid="{8BB8E342-544E-430C-A72A-9EBF9676D447}" name="Sprint" dataDxfId="59"/>
    <tableColumn id="9" xr3:uid="{96A939A8-DA63-4E70-B123-D31A897D4192}" name="Story ID" dataDxfId="58"/>
    <tableColumn id="2" xr3:uid="{CB307D23-EE39-436B-9E06-9E7789362DB6}" name="Estimated Hours" dataDxfId="57">
      <calculatedColumnFormula array="1">Tabelle3[Estimated time]</calculatedColumnFormula>
    </tableColumn>
    <tableColumn id="3" xr3:uid="{5EFC7DEC-DFDE-454B-90FC-2713EB4181D8}" name="Actual Hours" dataDxfId="56">
      <calculatedColumnFormula array="1">Tabelle3[Actual time]</calculatedColumnFormula>
    </tableColumn>
    <tableColumn id="4" xr3:uid="{D6FF0659-1B35-4F09-B5A7-D22FEF5F7C3F}" name="Accomplished Story Points" dataDxfId="55">
      <calculatedColumnFormula array="1">Tabelle4[[Total Storypoints ]]</calculatedColumnFormula>
    </tableColumn>
    <tableColumn id="5" xr3:uid="{9CD2DBE3-2E45-4440-8D7A-2A03A0291AAD}" name="Velocity" dataDxfId="54">
      <calculatedColumnFormula>IFERROR(Tabelle1[[#This Row],[Accomplished Story Points]]/Tabelle1[[#This Row],[Actual Hours]],0)</calculatedColumnFormula>
    </tableColumn>
    <tableColumn id="6" xr3:uid="{1977DF7A-0A05-43B5-99D3-B72159480780}" name="Total Storypoints" dataDxfId="53"/>
    <tableColumn id="7" xr3:uid="{D8A5F5FE-B9BC-448A-A9E7-3D00888AE639}" name="Storypoints Left" dataDxfId="52">
      <calculatedColumnFormula>Tabelle1[[#This Row],[Total Storypoints]]-Tabelle1[[#This Row],[Accomplished Story Points]]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9F99A6-83FF-4FC0-82EE-54F2B8B8AE5A}" name="Tabelle2" displayName="Tabelle2" ref="A1:J9" insertRowShift="1" totalsRowShown="0" headerRowDxfId="51" dataDxfId="50">
  <autoFilter ref="A1:J9" xr:uid="{739F99A6-83FF-4FC0-82EE-54F2B8B8AE5A}"/>
  <tableColumns count="10">
    <tableColumn id="1" xr3:uid="{0351E8C1-0BB8-4C19-A406-233CC12328E5}" name="Sprint Start" dataDxfId="49"/>
    <tableColumn id="2" xr3:uid="{51BD2FE0-507A-4398-BD96-E186E78BB2C7}" name="Sprint End" dataDxfId="48"/>
    <tableColumn id="3" xr3:uid="{A3B7E86B-E01A-4D78-82AD-BA81F6AC7ADF}" name="User" dataDxfId="47"/>
    <tableColumn id="5" xr3:uid="{CE780601-F45C-4063-B216-98ACE5588903}" name="ID" dataDxfId="46"/>
    <tableColumn id="6" xr3:uid="{A14D049D-AC5C-49A5-A7CC-A4D5ED8A8330}" name="Epic" dataDxfId="45"/>
    <tableColumn id="12" xr3:uid="{770F10A6-830A-41AC-B069-6267CAE00BDF}" name="User Story /Task" dataDxfId="44"/>
    <tableColumn id="11" xr3:uid="{0D9AB552-F7B4-4231-A35B-245B57383919}" name="Estimated time" dataDxfId="43"/>
    <tableColumn id="8" xr3:uid="{3E2E3644-9002-4AB9-B3EC-96FFF84D8900}" name="COS (Criteria of Satisfaction)" dataDxfId="42"/>
    <tableColumn id="9" xr3:uid="{14C8E3A9-BC37-48D9-A399-32A48A46993A}" name="Story points" dataDxfId="41"/>
    <tableColumn id="10" xr3:uid="{151786D9-5F15-42D7-932B-664A024F4131}" name="Time in Hours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9F1E8C-9DFD-4482-95C6-9C23936D055B}" name="Tabelle3" displayName="Tabelle3" ref="A15:C16" totalsRowShown="0" headerRowDxfId="39" dataDxfId="38">
  <autoFilter ref="A15:C16" xr:uid="{F79F1E8C-9DFD-4482-95C6-9C23936D055B}"/>
  <tableColumns count="3">
    <tableColumn id="1" xr3:uid="{CD2D4D96-DD34-4EA3-92D7-B02BB9DE5647}" name="Estimated time" dataDxfId="37">
      <calculatedColumnFormula>SUM(Tabelle2[Estimated time])</calculatedColumnFormula>
    </tableColumn>
    <tableColumn id="2" xr3:uid="{0F14E190-6E0A-4AB8-8ADE-83875E98D4B5}" name="Actual time" dataDxfId="36">
      <calculatedColumnFormula>SUM(Tabelle2[Time in Hours])</calculatedColumnFormula>
    </tableColumn>
    <tableColumn id="3" xr3:uid="{5DE18543-F4D3-4732-9F2D-5B7F140CB974}" name="Delta" dataDxfId="35">
      <calculatedColumnFormula>Tabelle3[[#This Row],[Estimated time]]-Tabelle3[[#This Row],[Actual time]]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FF718A-3E4E-40DD-BD72-E3ACE1B58735}" name="Tabelle4" displayName="Tabelle4" ref="E15:F16" totalsRowShown="0" headerRowDxfId="34" dataDxfId="33">
  <autoFilter ref="E15:F16" xr:uid="{F5FF718A-3E4E-40DD-BD72-E3ACE1B58735}"/>
  <tableColumns count="2">
    <tableColumn id="1" xr3:uid="{2E187AEA-682F-4749-9FC8-ED3BA3DE1DA2}" name="Total Storypoints " dataDxfId="32">
      <calculatedColumnFormula>SUM(Tabelle2[Story points])</calculatedColumnFormula>
    </tableColumn>
    <tableColumn id="2" xr3:uid="{3C6DC8F5-724A-43AC-9128-7661A96380C1}" name="Efford/Hour" dataDxfId="31">
      <calculatedColumnFormula>Tabelle4[[#This Row],[Total Storypoints ]]/Tabelle3[[#This Row],[Actual time]]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26F5F1-3CA5-4498-8D9F-A792FBE4E032}" name="Tabelle5" displayName="Tabelle5" ref="A1:G27" totalsRowShown="0" headerRowDxfId="30" dataDxfId="29">
  <autoFilter ref="A1:G27" xr:uid="{9C26F5F1-3CA5-4498-8D9F-A792FBE4E032}"/>
  <tableColumns count="7">
    <tableColumn id="1" xr3:uid="{BC6E6F54-B9E2-4D1B-BB78-E6F30265832D}" name="Story ID" dataDxfId="28"/>
    <tableColumn id="2" xr3:uid="{5BD6C059-22C9-4C4A-90A3-74736AC1F83D}" name="Title" dataDxfId="27"/>
    <tableColumn id="3" xr3:uid="{F3A7207B-9229-4096-9A5B-C4FB1EDD5455}" name="Priority" dataDxfId="26"/>
    <tableColumn id="4" xr3:uid="{E38B598E-699A-460C-AB30-1E65BB7404BF}" name="Effort" dataDxfId="25"/>
    <tableColumn id="5" xr3:uid="{5087B805-D2DF-49C7-9936-ECACDF516D64}" name="Status" dataDxfId="24"/>
    <tableColumn id="6" xr3:uid="{05DFD049-144E-4717-9B70-2B02AA12CC20}" name="Story Points" dataDxfId="23"/>
    <tableColumn id="7" xr3:uid="{98F7F45D-928E-4B6F-868A-18B3899C12B6}" name="Sprint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11D33B-248F-4E66-AF7C-9632EAA38DAC}" name="Tabelle27" displayName="Tabelle27" ref="A1:K12" insertRowShift="1" totalsRowShown="0" headerRowDxfId="21" dataDxfId="20">
  <autoFilter ref="A1:K12" xr:uid="{739F99A6-83FF-4FC0-82EE-54F2B8B8AE5A}"/>
  <tableColumns count="11">
    <tableColumn id="1" xr3:uid="{9C36A560-9153-4D8E-BA50-0044E74E1896}" name="Sprint Start" dataDxfId="19"/>
    <tableColumn id="2" xr3:uid="{4FAB3106-8621-41F1-B866-EA5558F083D8}" name="Sprint End" dataDxfId="18"/>
    <tableColumn id="3" xr3:uid="{2D2022CC-B165-4671-9773-4C7DCE737FC7}" name="User" dataDxfId="17"/>
    <tableColumn id="5" xr3:uid="{6D49D607-DA69-4FF5-AC26-260E9F796217}" name="ID" dataDxfId="16"/>
    <tableColumn id="6" xr3:uid="{95077F2F-115F-484E-A38C-A34A2BCBCB78}" name="Epic" dataDxfId="15"/>
    <tableColumn id="12" xr3:uid="{2EAFDE91-2C58-4973-A684-28E2E964F629}" name="User Story /Task" dataDxfId="14"/>
    <tableColumn id="11" xr3:uid="{D17AAC02-918A-4F08-B037-3622F37B62F0}" name="Estimated time" dataDxfId="13"/>
    <tableColumn id="8" xr3:uid="{4D053EE2-698A-4191-ABEB-8F0701DA4D4E}" name="COS (Criteria of Satisfaction)" dataDxfId="12"/>
    <tableColumn id="9" xr3:uid="{73BF0134-792D-4614-95FB-754C4A317665}" name="Story points" dataDxfId="11"/>
    <tableColumn id="10" xr3:uid="{2620A9CC-A288-4874-BF27-2BBE69671B14}" name="Time in Hours" dataDxfId="10"/>
    <tableColumn id="4" xr3:uid="{EEDB864F-4BEC-E84C-8BC3-11680213E110}" name="Status" dataDxfId="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35EDC6-25C8-4AEE-8477-EE4C813DEB0C}" name="Tabelle38" displayName="Tabelle38" ref="A16:C17" totalsRowShown="0" headerRowDxfId="9" dataDxfId="8">
  <autoFilter ref="A16:C17" xr:uid="{F79F1E8C-9DFD-4482-95C6-9C23936D055B}"/>
  <tableColumns count="3">
    <tableColumn id="1" xr3:uid="{608DD481-0706-4498-AF85-EB4AD6D17A03}" name="Estimated time" dataDxfId="7">
      <calculatedColumnFormula>SUM(Tabelle27[Estimated time])</calculatedColumnFormula>
    </tableColumn>
    <tableColumn id="2" xr3:uid="{727CC20C-885F-49B6-A31D-85E6D39BFD35}" name="Actual time" dataDxfId="6">
      <calculatedColumnFormula>SUM(Tabelle27[Time in Hours])</calculatedColumnFormula>
    </tableColumn>
    <tableColumn id="3" xr3:uid="{DB626F11-D2AA-4B08-BE29-BA7526E2BE88}" name="Delta" dataDxfId="5">
      <calculatedColumnFormula>Tabelle38[[#This Row],[Estimated time]]-Tabelle38[[#This Row],[Actual time]]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6D8EE75-69AD-457A-99FC-A0696238BDE6}" name="Tabelle49" displayName="Tabelle49" ref="E16:F17" totalsRowShown="0" headerRowDxfId="4" dataDxfId="3">
  <autoFilter ref="E16:F17" xr:uid="{F5FF718A-3E4E-40DD-BD72-E3ACE1B58735}"/>
  <tableColumns count="2">
    <tableColumn id="1" xr3:uid="{1F43F730-E2EB-4487-8A5C-6B0E3F4CC598}" name="Total Storypoints " dataDxfId="2">
      <calculatedColumnFormula>SUM(Tabelle27[Story points])</calculatedColumnFormula>
    </tableColumn>
    <tableColumn id="2" xr3:uid="{95E1605C-A4E2-4173-B0AE-218EC74BDEA1}" name="Effort/Hour" dataDxfId="1">
      <calculatedColumnFormula>Tabelle49[[#This Row],[Total Storypoints ]]/Tabelle38[[#This Row],[Actual time]]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E37C-43EC-4C4E-87EE-1ED050478924}">
  <sheetPr>
    <tabColor theme="3" tint="0.499984740745262"/>
  </sheetPr>
  <dimension ref="A1:H17"/>
  <sheetViews>
    <sheetView zoomScale="85" zoomScaleNormal="85" workbookViewId="0">
      <selection activeCell="D26" sqref="D26"/>
    </sheetView>
  </sheetViews>
  <sheetFormatPr baseColWidth="10" defaultRowHeight="15" x14ac:dyDescent="0.2"/>
  <cols>
    <col min="1" max="1" width="11.1640625" bestFit="1" customWidth="1"/>
    <col min="2" max="2" width="37.83203125" bestFit="1" customWidth="1"/>
    <col min="3" max="3" width="23.83203125" bestFit="1" customWidth="1"/>
    <col min="4" max="4" width="19.1640625" bestFit="1" customWidth="1"/>
    <col min="5" max="5" width="36.1640625" bestFit="1" customWidth="1"/>
    <col min="6" max="6" width="13.5" bestFit="1" customWidth="1"/>
    <col min="7" max="7" width="24.1640625" bestFit="1" customWidth="1"/>
    <col min="8" max="8" width="22.83203125" bestFit="1" customWidth="1"/>
    <col min="9" max="9" width="22.5" bestFit="1" customWidth="1"/>
  </cols>
  <sheetData>
    <row r="1" spans="1:8" ht="22" x14ac:dyDescent="0.3">
      <c r="A1" s="6" t="s">
        <v>5</v>
      </c>
      <c r="B1" s="6" t="s">
        <v>0</v>
      </c>
      <c r="C1" s="6" t="s">
        <v>78</v>
      </c>
      <c r="D1" s="6" t="s">
        <v>79</v>
      </c>
      <c r="E1" s="6" t="s">
        <v>80</v>
      </c>
      <c r="F1" s="6" t="s">
        <v>81</v>
      </c>
      <c r="G1" s="6" t="s">
        <v>82</v>
      </c>
      <c r="H1" s="6" t="s">
        <v>83</v>
      </c>
    </row>
    <row r="2" spans="1:8" ht="22" x14ac:dyDescent="0.3">
      <c r="A2" s="7" t="s">
        <v>85</v>
      </c>
      <c r="B2" s="7" t="s">
        <v>97</v>
      </c>
      <c r="C2" s="7" cm="1">
        <f t="array" ref="C2">Tabelle3[Estimated time]</f>
        <v>13</v>
      </c>
      <c r="D2" s="7" cm="1">
        <f t="array" ref="D2">Tabelle3[Actual time]</f>
        <v>17</v>
      </c>
      <c r="E2" s="7" cm="1">
        <f t="array" ref="E2">Tabelle4[[Total Storypoints ]]</f>
        <v>0</v>
      </c>
      <c r="F2" s="7">
        <f>IFERROR(Tabelle1[[#This Row],[Accomplished Story Points]]/Tabelle1[[#This Row],[Actual Hours]],0)</f>
        <v>0</v>
      </c>
      <c r="G2" s="7">
        <v>146</v>
      </c>
      <c r="H2" s="7">
        <f>Tabelle1[[#This Row],[Total Storypoints]]-Tabelle1[[#This Row],[Accomplished Story Points]]</f>
        <v>146</v>
      </c>
    </row>
    <row r="3" spans="1:8" ht="22" x14ac:dyDescent="0.3">
      <c r="A3" s="7" t="s">
        <v>86</v>
      </c>
      <c r="B3" s="7" t="s">
        <v>127</v>
      </c>
      <c r="C3" s="7" cm="1">
        <f t="array" ref="C3">Tabelle38[Estimated time]</f>
        <v>42</v>
      </c>
      <c r="D3" s="7" cm="1">
        <f t="array" ref="D3">Tabelle38[Actual time]</f>
        <v>24</v>
      </c>
      <c r="E3" s="7" cm="1">
        <f t="array" ref="E3">Tabelle49[[Total Storypoints ]]</f>
        <v>21</v>
      </c>
      <c r="F3" s="7">
        <f>IFERROR(Tabelle1[[#This Row],[Accomplished Story Points]]/Tabelle1[[#This Row],[Actual Hours]],0)</f>
        <v>0.875</v>
      </c>
      <c r="G3" s="7">
        <v>146</v>
      </c>
      <c r="H3" s="7">
        <f>Tabelle1[[#This Row],[Total Storypoints]]-Tabelle1[[#This Row],[Accomplished Story Points]]</f>
        <v>125</v>
      </c>
    </row>
    <row r="4" spans="1:8" ht="22" x14ac:dyDescent="0.3">
      <c r="A4" s="7" t="s">
        <v>87</v>
      </c>
      <c r="B4" s="7"/>
      <c r="C4" s="7"/>
      <c r="D4" s="7"/>
      <c r="E4" s="7"/>
      <c r="F4" s="7">
        <f>IFERROR(Tabelle1[[#This Row],[Accomplished Story Points]]/Tabelle1[[#This Row],[Actual Hours]],0)</f>
        <v>0</v>
      </c>
      <c r="G4" s="7"/>
      <c r="H4" s="7">
        <f>Tabelle1[[#This Row],[Total Storypoints]]-Tabelle1[[#This Row],[Accomplished Story Points]]</f>
        <v>0</v>
      </c>
    </row>
    <row r="5" spans="1:8" ht="22" x14ac:dyDescent="0.3">
      <c r="A5" s="7" t="s">
        <v>88</v>
      </c>
      <c r="B5" s="7"/>
      <c r="C5" s="7"/>
      <c r="D5" s="7"/>
      <c r="E5" s="7"/>
      <c r="F5" s="7">
        <f>IFERROR(Tabelle1[[#This Row],[Accomplished Story Points]]/Tabelle1[[#This Row],[Actual Hours]],0)</f>
        <v>0</v>
      </c>
      <c r="G5" s="7"/>
      <c r="H5" s="7">
        <f>Tabelle1[[#This Row],[Total Storypoints]]-Tabelle1[[#This Row],[Accomplished Story Points]]</f>
        <v>0</v>
      </c>
    </row>
    <row r="6" spans="1:8" ht="22" x14ac:dyDescent="0.3">
      <c r="A6" s="7" t="s">
        <v>89</v>
      </c>
      <c r="B6" s="7"/>
      <c r="C6" s="7"/>
      <c r="D6" s="7"/>
      <c r="E6" s="7"/>
      <c r="F6" s="7">
        <f>IFERROR(Tabelle1[[#This Row],[Accomplished Story Points]]/Tabelle1[[#This Row],[Actual Hours]],0)</f>
        <v>0</v>
      </c>
      <c r="G6" s="7"/>
      <c r="H6" s="7">
        <f>Tabelle1[[#This Row],[Total Storypoints]]-Tabelle1[[#This Row],[Accomplished Story Points]]</f>
        <v>0</v>
      </c>
    </row>
    <row r="7" spans="1:8" ht="22" x14ac:dyDescent="0.3">
      <c r="A7" s="7" t="s">
        <v>90</v>
      </c>
      <c r="B7" s="7"/>
      <c r="C7" s="7"/>
      <c r="D7" s="7"/>
      <c r="E7" s="7"/>
      <c r="F7" s="7">
        <f>IFERROR(Tabelle1[[#This Row],[Accomplished Story Points]]/Tabelle1[[#This Row],[Actual Hours]],0)</f>
        <v>0</v>
      </c>
      <c r="G7" s="7"/>
      <c r="H7" s="7">
        <f>Tabelle1[[#This Row],[Total Storypoints]]-Tabelle1[[#This Row],[Accomplished Story Points]]</f>
        <v>0</v>
      </c>
    </row>
    <row r="8" spans="1:8" ht="22" x14ac:dyDescent="0.3">
      <c r="A8" s="7" t="s">
        <v>91</v>
      </c>
      <c r="B8" s="7"/>
      <c r="C8" s="7"/>
      <c r="D8" s="7"/>
      <c r="E8" s="7"/>
      <c r="F8" s="7">
        <f>IFERROR(Tabelle1[[#This Row],[Accomplished Story Points]]/Tabelle1[[#This Row],[Actual Hours]],0)</f>
        <v>0</v>
      </c>
      <c r="G8" s="7"/>
      <c r="H8" s="7">
        <f>Tabelle1[[#This Row],[Total Storypoints]]-Tabelle1[[#This Row],[Accomplished Story Points]]</f>
        <v>0</v>
      </c>
    </row>
    <row r="12" spans="1:8" ht="24" x14ac:dyDescent="0.3">
      <c r="B12" s="1" t="s">
        <v>92</v>
      </c>
      <c r="C12" s="5">
        <v>146</v>
      </c>
    </row>
    <row r="13" spans="1:8" ht="24" x14ac:dyDescent="0.3">
      <c r="B13" s="1" t="s">
        <v>133</v>
      </c>
      <c r="C13" s="5">
        <f>C12-SUM(Tabelle1[Accomplished Story Points])</f>
        <v>125</v>
      </c>
    </row>
    <row r="14" spans="1:8" ht="24" x14ac:dyDescent="0.3">
      <c r="B14" s="1" t="s">
        <v>96</v>
      </c>
      <c r="C14" s="5">
        <f>COUNTIF(Tabelle1[Sprint],"*Sprint*")</f>
        <v>7</v>
      </c>
    </row>
    <row r="15" spans="1:8" ht="24" x14ac:dyDescent="0.3">
      <c r="B15" s="1" t="s">
        <v>93</v>
      </c>
      <c r="C15" s="5">
        <f>AVERAGE(Tabelle1[Velocity])</f>
        <v>0.125</v>
      </c>
    </row>
    <row r="16" spans="1:8" ht="24" x14ac:dyDescent="0.3">
      <c r="B16" s="1" t="s">
        <v>94</v>
      </c>
      <c r="C16" s="14">
        <f>(SUM(Tabelle1[Accomplished Story Points],)/G2)</f>
        <v>0.14383561643835616</v>
      </c>
    </row>
    <row r="17" spans="2:3" ht="24" x14ac:dyDescent="0.3">
      <c r="B17" s="1" t="s">
        <v>84</v>
      </c>
      <c r="C17" s="18">
        <f>C13/C15</f>
        <v>1000</v>
      </c>
    </row>
  </sheetData>
  <phoneticPr fontId="2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CD9D-70AE-44DD-9C82-08638998B9B7}">
  <sheetPr>
    <tabColor theme="0"/>
  </sheetPr>
  <dimension ref="A1:J16"/>
  <sheetViews>
    <sheetView zoomScale="85" zoomScaleNormal="85" workbookViewId="0">
      <selection activeCell="H13" sqref="H13"/>
    </sheetView>
  </sheetViews>
  <sheetFormatPr baseColWidth="10" defaultRowHeight="15" x14ac:dyDescent="0.2"/>
  <cols>
    <col min="1" max="1" width="19.6640625" bestFit="1" customWidth="1"/>
    <col min="2" max="2" width="15.83203125" bestFit="1" customWidth="1"/>
    <col min="3" max="3" width="9.33203125" bestFit="1" customWidth="1"/>
    <col min="4" max="4" width="6.83203125" bestFit="1" customWidth="1"/>
    <col min="5" max="5" width="33.83203125" bestFit="1" customWidth="1"/>
    <col min="6" max="6" width="27.5" bestFit="1" customWidth="1"/>
    <col min="7" max="7" width="19.6640625" bestFit="1" customWidth="1"/>
    <col min="8" max="8" width="95.33203125" bestFit="1" customWidth="1"/>
    <col min="9" max="9" width="16.33203125" bestFit="1" customWidth="1"/>
    <col min="10" max="10" width="18.1640625" bestFit="1" customWidth="1"/>
  </cols>
  <sheetData>
    <row r="1" spans="1:10" ht="19" x14ac:dyDescent="0.25">
      <c r="A1" s="8" t="s">
        <v>98</v>
      </c>
      <c r="B1" s="8" t="s">
        <v>99</v>
      </c>
      <c r="C1" s="8" t="s">
        <v>100</v>
      </c>
      <c r="D1" s="8" t="s">
        <v>101</v>
      </c>
      <c r="E1" s="8" t="s">
        <v>112</v>
      </c>
      <c r="F1" s="8" t="s">
        <v>111</v>
      </c>
      <c r="G1" s="8" t="s">
        <v>108</v>
      </c>
      <c r="H1" s="8" t="s">
        <v>104</v>
      </c>
      <c r="I1" s="8" t="s">
        <v>102</v>
      </c>
      <c r="J1" s="8" t="s">
        <v>103</v>
      </c>
    </row>
    <row r="2" spans="1:10" ht="19" x14ac:dyDescent="0.25">
      <c r="A2" s="9">
        <v>45925</v>
      </c>
      <c r="B2" s="9">
        <v>45932</v>
      </c>
      <c r="C2" s="8" t="s">
        <v>105</v>
      </c>
      <c r="D2" s="10"/>
      <c r="E2" s="8" t="s">
        <v>97</v>
      </c>
      <c r="F2" s="11" t="s">
        <v>114</v>
      </c>
      <c r="G2" s="8">
        <v>2</v>
      </c>
      <c r="H2" s="8" t="s">
        <v>113</v>
      </c>
      <c r="I2" s="10" t="s">
        <v>106</v>
      </c>
      <c r="J2" s="8">
        <v>2</v>
      </c>
    </row>
    <row r="3" spans="1:10" ht="19" x14ac:dyDescent="0.25">
      <c r="A3" s="8"/>
      <c r="B3" s="8"/>
      <c r="C3" s="8" t="s">
        <v>105</v>
      </c>
      <c r="D3" s="8"/>
      <c r="E3" s="8"/>
      <c r="F3" s="8" t="s">
        <v>115</v>
      </c>
      <c r="G3" s="8">
        <v>4</v>
      </c>
      <c r="H3" s="8" t="s">
        <v>107</v>
      </c>
      <c r="I3" s="8"/>
      <c r="J3" s="8">
        <v>4</v>
      </c>
    </row>
    <row r="4" spans="1:10" ht="19" x14ac:dyDescent="0.25">
      <c r="A4" s="8"/>
      <c r="B4" s="8"/>
      <c r="C4" s="8" t="s">
        <v>105</v>
      </c>
      <c r="D4" s="8"/>
      <c r="E4" s="8"/>
      <c r="F4" s="8" t="s">
        <v>116</v>
      </c>
      <c r="G4" s="8">
        <v>1</v>
      </c>
      <c r="H4" s="8"/>
      <c r="I4" s="8"/>
      <c r="J4" s="8">
        <v>3</v>
      </c>
    </row>
    <row r="5" spans="1:10" ht="19" x14ac:dyDescent="0.25">
      <c r="A5" s="8"/>
      <c r="B5" s="8"/>
      <c r="C5" s="8"/>
      <c r="D5" s="8"/>
      <c r="E5" s="8"/>
      <c r="F5" s="8"/>
      <c r="G5" s="8"/>
      <c r="H5" s="8"/>
      <c r="I5" s="8"/>
      <c r="J5" s="8"/>
    </row>
    <row r="6" spans="1:10" ht="19" x14ac:dyDescent="0.25">
      <c r="A6" s="8"/>
      <c r="B6" s="8"/>
      <c r="C6" s="8" t="s">
        <v>105</v>
      </c>
      <c r="D6" s="8" t="s">
        <v>6</v>
      </c>
      <c r="E6" s="8" t="s">
        <v>119</v>
      </c>
      <c r="F6" s="8" t="s">
        <v>120</v>
      </c>
      <c r="G6" s="8">
        <v>2</v>
      </c>
      <c r="H6" s="8" t="s">
        <v>122</v>
      </c>
      <c r="I6" s="8">
        <v>0</v>
      </c>
      <c r="J6" s="8">
        <v>2</v>
      </c>
    </row>
    <row r="7" spans="1:10" ht="19" x14ac:dyDescent="0.25">
      <c r="A7" s="8"/>
      <c r="B7" s="8"/>
      <c r="C7" s="8" t="s">
        <v>105</v>
      </c>
      <c r="D7" s="8" t="s">
        <v>6</v>
      </c>
      <c r="E7" s="8" t="s">
        <v>119</v>
      </c>
      <c r="F7" s="8" t="s">
        <v>121</v>
      </c>
      <c r="G7" s="8">
        <v>3</v>
      </c>
      <c r="H7" s="8" t="s">
        <v>123</v>
      </c>
      <c r="I7" s="8"/>
      <c r="J7" s="8">
        <v>5</v>
      </c>
    </row>
    <row r="8" spans="1:10" ht="19" x14ac:dyDescent="0.25">
      <c r="A8" s="8"/>
      <c r="B8" s="8"/>
      <c r="C8" s="8" t="s">
        <v>105</v>
      </c>
      <c r="D8" s="8" t="s">
        <v>6</v>
      </c>
      <c r="E8" s="8" t="s">
        <v>119</v>
      </c>
      <c r="F8" s="8" t="s">
        <v>124</v>
      </c>
      <c r="G8" s="8">
        <v>1</v>
      </c>
      <c r="H8" s="8"/>
      <c r="I8" s="8"/>
      <c r="J8" s="8">
        <v>1</v>
      </c>
    </row>
    <row r="9" spans="1:10" ht="19" x14ac:dyDescent="0.2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0" ht="19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</row>
    <row r="11" spans="1:10" ht="19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ht="19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</row>
    <row r="13" spans="1:10" ht="19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ht="1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0" ht="19" x14ac:dyDescent="0.25">
      <c r="A15" s="13" t="s">
        <v>108</v>
      </c>
      <c r="B15" s="13" t="s">
        <v>109</v>
      </c>
      <c r="C15" s="13" t="s">
        <v>110</v>
      </c>
      <c r="D15" s="8"/>
      <c r="E15" s="13" t="s">
        <v>117</v>
      </c>
      <c r="F15" s="13" t="s">
        <v>118</v>
      </c>
      <c r="G15" s="8"/>
      <c r="H15" s="8"/>
      <c r="I15" s="8"/>
      <c r="J15" s="8"/>
    </row>
    <row r="16" spans="1:10" ht="19" x14ac:dyDescent="0.25">
      <c r="A16" s="12">
        <f>SUM(Tabelle2[Estimated time])</f>
        <v>13</v>
      </c>
      <c r="B16" s="12">
        <f>SUM(Tabelle2[Time in Hours])</f>
        <v>17</v>
      </c>
      <c r="C16" s="12">
        <f>Tabelle3[[#This Row],[Estimated time]]-Tabelle3[[#This Row],[Actual time]]</f>
        <v>-4</v>
      </c>
      <c r="D16" s="8"/>
      <c r="E16" s="12">
        <f>SUM(Tabelle2[Story points])</f>
        <v>0</v>
      </c>
      <c r="F16" s="12">
        <f>Tabelle4[[#This Row],[Total Storypoints ]]/Tabelle3[[#This Row],[Actual time]]</f>
        <v>0</v>
      </c>
      <c r="G16" s="8"/>
      <c r="H16" s="8"/>
      <c r="I16" s="8"/>
      <c r="J16" s="8"/>
    </row>
  </sheetData>
  <pageMargins left="0.7" right="0.7" top="0.78740157499999996" bottom="0.78740157499999996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2A55-0520-4EB5-86E6-237FE14873A1}">
  <sheetPr>
    <tabColor theme="6"/>
  </sheetPr>
  <dimension ref="A1:I27"/>
  <sheetViews>
    <sheetView workbookViewId="0">
      <selection activeCell="H21" sqref="H21"/>
    </sheetView>
  </sheetViews>
  <sheetFormatPr baseColWidth="10" defaultRowHeight="15" x14ac:dyDescent="0.2"/>
  <cols>
    <col min="1" max="1" width="9.5" bestFit="1" customWidth="1"/>
    <col min="2" max="2" width="16" bestFit="1" customWidth="1"/>
    <col min="3" max="3" width="9.6640625" customWidth="1"/>
    <col min="4" max="4" width="61.1640625" bestFit="1" customWidth="1"/>
    <col min="5" max="5" width="14.1640625" bestFit="1" customWidth="1"/>
    <col min="6" max="6" width="13" bestFit="1" customWidth="1"/>
    <col min="7" max="7" width="8.1640625" bestFit="1" customWidth="1"/>
  </cols>
  <sheetData>
    <row r="1" spans="1:9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95</v>
      </c>
      <c r="G1" s="3" t="s">
        <v>5</v>
      </c>
      <c r="I1" s="17"/>
    </row>
    <row r="2" spans="1:9" x14ac:dyDescent="0.2">
      <c r="A2" s="2" t="s">
        <v>6</v>
      </c>
      <c r="B2" s="15" t="s">
        <v>7</v>
      </c>
      <c r="C2" s="2">
        <v>1</v>
      </c>
      <c r="D2" s="2" t="s">
        <v>8</v>
      </c>
      <c r="E2" s="2" t="s">
        <v>136</v>
      </c>
      <c r="F2" s="2">
        <v>5</v>
      </c>
      <c r="G2" s="2">
        <v>1</v>
      </c>
      <c r="I2" s="17"/>
    </row>
    <row r="3" spans="1:9" x14ac:dyDescent="0.2">
      <c r="A3" s="2" t="s">
        <v>10</v>
      </c>
      <c r="B3" s="15" t="s">
        <v>125</v>
      </c>
      <c r="C3" s="2">
        <v>2</v>
      </c>
      <c r="D3" s="2" t="s">
        <v>126</v>
      </c>
      <c r="E3" s="2" t="s">
        <v>9</v>
      </c>
      <c r="F3" s="2">
        <v>8</v>
      </c>
      <c r="G3" s="2"/>
      <c r="I3" s="17"/>
    </row>
    <row r="4" spans="1:9" x14ac:dyDescent="0.2">
      <c r="A4" s="2" t="s">
        <v>11</v>
      </c>
      <c r="B4" s="15" t="s">
        <v>12</v>
      </c>
      <c r="C4" s="2">
        <v>1</v>
      </c>
      <c r="D4" s="2" t="s">
        <v>137</v>
      </c>
      <c r="E4" s="2" t="s">
        <v>136</v>
      </c>
      <c r="F4" s="2">
        <v>8</v>
      </c>
      <c r="G4" s="2"/>
      <c r="I4" s="17"/>
    </row>
    <row r="5" spans="1:9" x14ac:dyDescent="0.2">
      <c r="A5" s="2" t="s">
        <v>13</v>
      </c>
      <c r="B5" s="15" t="s">
        <v>14</v>
      </c>
      <c r="C5" s="2">
        <v>3</v>
      </c>
      <c r="D5" s="2" t="s">
        <v>15</v>
      </c>
      <c r="E5" s="2" t="s">
        <v>9</v>
      </c>
      <c r="F5" s="2">
        <v>5</v>
      </c>
      <c r="G5" s="2"/>
      <c r="I5" s="17"/>
    </row>
    <row r="6" spans="1:9" x14ac:dyDescent="0.2">
      <c r="A6" s="2" t="s">
        <v>16</v>
      </c>
      <c r="B6" s="15" t="s">
        <v>14</v>
      </c>
      <c r="C6" s="2">
        <v>4</v>
      </c>
      <c r="D6" s="2" t="s">
        <v>17</v>
      </c>
      <c r="E6" s="2" t="s">
        <v>9</v>
      </c>
      <c r="F6" s="2">
        <v>4</v>
      </c>
      <c r="G6" s="2"/>
      <c r="I6" s="17"/>
    </row>
    <row r="7" spans="1:9" x14ac:dyDescent="0.2">
      <c r="A7" s="2" t="s">
        <v>18</v>
      </c>
      <c r="B7" s="15" t="s">
        <v>19</v>
      </c>
      <c r="C7" s="2">
        <v>2</v>
      </c>
      <c r="D7" s="2" t="s">
        <v>20</v>
      </c>
      <c r="E7" s="2" t="s">
        <v>9</v>
      </c>
      <c r="F7" s="2">
        <v>6</v>
      </c>
      <c r="G7" s="2"/>
      <c r="I7" s="17"/>
    </row>
    <row r="8" spans="1:9" x14ac:dyDescent="0.2">
      <c r="A8" s="2" t="s">
        <v>21</v>
      </c>
      <c r="B8" s="15" t="s">
        <v>22</v>
      </c>
      <c r="C8" s="2">
        <v>6</v>
      </c>
      <c r="D8" s="2" t="s">
        <v>23</v>
      </c>
      <c r="E8" s="2" t="s">
        <v>9</v>
      </c>
      <c r="F8" s="2">
        <v>7</v>
      </c>
      <c r="G8" s="2"/>
      <c r="I8" s="17"/>
    </row>
    <row r="9" spans="1:9" x14ac:dyDescent="0.2">
      <c r="A9" s="2" t="s">
        <v>24</v>
      </c>
      <c r="B9" s="15" t="s">
        <v>25</v>
      </c>
      <c r="C9" s="2">
        <v>5</v>
      </c>
      <c r="D9" s="2" t="s">
        <v>26</v>
      </c>
      <c r="E9" s="2" t="s">
        <v>9</v>
      </c>
      <c r="F9" s="2">
        <v>4</v>
      </c>
      <c r="G9" s="2"/>
      <c r="I9" s="17"/>
    </row>
    <row r="10" spans="1:9" x14ac:dyDescent="0.2">
      <c r="A10" s="2" t="s">
        <v>27</v>
      </c>
      <c r="B10" s="15" t="s">
        <v>28</v>
      </c>
      <c r="C10" s="2">
        <v>8</v>
      </c>
      <c r="D10" s="2" t="s">
        <v>29</v>
      </c>
      <c r="E10" s="2" t="s">
        <v>9</v>
      </c>
      <c r="F10" s="2">
        <v>8</v>
      </c>
      <c r="G10" s="2"/>
      <c r="I10" s="17"/>
    </row>
    <row r="11" spans="1:9" x14ac:dyDescent="0.2">
      <c r="A11" s="2" t="s">
        <v>30</v>
      </c>
      <c r="B11" s="15" t="s">
        <v>31</v>
      </c>
      <c r="C11" s="2">
        <v>7</v>
      </c>
      <c r="D11" s="2" t="s">
        <v>32</v>
      </c>
      <c r="E11" s="2" t="s">
        <v>9</v>
      </c>
      <c r="F11" s="2">
        <v>5</v>
      </c>
      <c r="G11" s="2"/>
      <c r="I11" s="17"/>
    </row>
    <row r="12" spans="1:9" x14ac:dyDescent="0.2">
      <c r="A12" s="2" t="s">
        <v>33</v>
      </c>
      <c r="B12" s="15" t="s">
        <v>34</v>
      </c>
      <c r="C12" s="2">
        <v>3</v>
      </c>
      <c r="D12" s="2" t="s">
        <v>35</v>
      </c>
      <c r="E12" s="2" t="s">
        <v>9</v>
      </c>
      <c r="F12" s="2">
        <v>6</v>
      </c>
      <c r="G12" s="2"/>
      <c r="I12" s="17"/>
    </row>
    <row r="13" spans="1:9" x14ac:dyDescent="0.2">
      <c r="A13" s="2" t="s">
        <v>36</v>
      </c>
      <c r="B13" s="15" t="s">
        <v>37</v>
      </c>
      <c r="C13" s="2">
        <v>9</v>
      </c>
      <c r="D13" s="2" t="s">
        <v>38</v>
      </c>
      <c r="E13" s="2" t="s">
        <v>9</v>
      </c>
      <c r="F13" s="2">
        <v>3</v>
      </c>
      <c r="G13" s="2"/>
      <c r="I13" s="17"/>
    </row>
    <row r="14" spans="1:9" x14ac:dyDescent="0.2">
      <c r="A14" s="2" t="s">
        <v>39</v>
      </c>
      <c r="B14" s="15" t="s">
        <v>40</v>
      </c>
      <c r="C14" s="2">
        <v>4</v>
      </c>
      <c r="D14" s="2" t="s">
        <v>41</v>
      </c>
      <c r="E14" s="2" t="s">
        <v>9</v>
      </c>
      <c r="F14" s="2">
        <v>7</v>
      </c>
      <c r="G14" s="2"/>
      <c r="I14" s="17"/>
    </row>
    <row r="15" spans="1:9" x14ac:dyDescent="0.2">
      <c r="A15" s="2" t="s">
        <v>42</v>
      </c>
      <c r="B15" s="15" t="s">
        <v>43</v>
      </c>
      <c r="C15" s="2">
        <v>10</v>
      </c>
      <c r="D15" s="2" t="s">
        <v>44</v>
      </c>
      <c r="E15" s="2" t="s">
        <v>9</v>
      </c>
      <c r="F15" s="2">
        <v>4</v>
      </c>
      <c r="G15" s="2"/>
      <c r="I15" s="17"/>
    </row>
    <row r="16" spans="1:9" x14ac:dyDescent="0.2">
      <c r="A16" s="2" t="s">
        <v>45</v>
      </c>
      <c r="B16" s="15" t="s">
        <v>46</v>
      </c>
      <c r="C16" s="2">
        <v>11</v>
      </c>
      <c r="D16" s="2" t="s">
        <v>47</v>
      </c>
      <c r="E16" s="2" t="s">
        <v>9</v>
      </c>
      <c r="F16" s="2">
        <v>5</v>
      </c>
      <c r="G16" s="2"/>
      <c r="I16" s="17"/>
    </row>
    <row r="17" spans="1:9" x14ac:dyDescent="0.2">
      <c r="A17" s="2" t="s">
        <v>48</v>
      </c>
      <c r="B17" s="15" t="s">
        <v>49</v>
      </c>
      <c r="C17" s="2">
        <v>6</v>
      </c>
      <c r="D17" s="2" t="s">
        <v>50</v>
      </c>
      <c r="E17" s="2" t="s">
        <v>9</v>
      </c>
      <c r="F17" s="2">
        <v>8</v>
      </c>
      <c r="G17" s="2"/>
      <c r="I17" s="17"/>
    </row>
    <row r="18" spans="1:9" x14ac:dyDescent="0.2">
      <c r="A18" s="2" t="s">
        <v>51</v>
      </c>
      <c r="B18" s="15" t="s">
        <v>52</v>
      </c>
      <c r="C18" s="2">
        <v>12</v>
      </c>
      <c r="D18" s="2" t="s">
        <v>53</v>
      </c>
      <c r="E18" s="2" t="s">
        <v>9</v>
      </c>
      <c r="F18" s="2">
        <v>6</v>
      </c>
      <c r="G18" s="2"/>
      <c r="I18" s="17"/>
    </row>
    <row r="19" spans="1:9" x14ac:dyDescent="0.2">
      <c r="A19" s="2" t="s">
        <v>54</v>
      </c>
      <c r="B19" s="15" t="s">
        <v>55</v>
      </c>
      <c r="C19" s="2">
        <v>1</v>
      </c>
      <c r="D19" s="2" t="s">
        <v>56</v>
      </c>
      <c r="E19" s="2" t="s">
        <v>9</v>
      </c>
      <c r="F19" s="2">
        <v>3</v>
      </c>
      <c r="G19" s="2"/>
      <c r="I19" s="17"/>
    </row>
    <row r="20" spans="1:9" x14ac:dyDescent="0.2">
      <c r="A20" s="2" t="s">
        <v>57</v>
      </c>
      <c r="B20" s="15" t="s">
        <v>58</v>
      </c>
      <c r="C20" s="2">
        <v>13</v>
      </c>
      <c r="D20" s="2" t="s">
        <v>59</v>
      </c>
      <c r="E20" s="2" t="s">
        <v>9</v>
      </c>
      <c r="F20" s="2">
        <v>5</v>
      </c>
      <c r="G20" s="2"/>
      <c r="I20" s="17"/>
    </row>
    <row r="21" spans="1:9" x14ac:dyDescent="0.2">
      <c r="A21" s="2" t="s">
        <v>60</v>
      </c>
      <c r="B21" s="15" t="s">
        <v>61</v>
      </c>
      <c r="C21" s="2">
        <v>8</v>
      </c>
      <c r="D21" s="2" t="s">
        <v>62</v>
      </c>
      <c r="E21" s="2" t="s">
        <v>140</v>
      </c>
      <c r="F21" s="2">
        <v>9</v>
      </c>
      <c r="G21" s="2">
        <v>2</v>
      </c>
      <c r="I21" s="17"/>
    </row>
    <row r="22" spans="1:9" x14ac:dyDescent="0.2">
      <c r="A22" s="2" t="s">
        <v>63</v>
      </c>
      <c r="B22" s="15" t="s">
        <v>64</v>
      </c>
      <c r="C22" s="2">
        <v>14</v>
      </c>
      <c r="D22" s="2" t="s">
        <v>65</v>
      </c>
      <c r="E22" s="2" t="s">
        <v>9</v>
      </c>
      <c r="F22" s="2">
        <v>4</v>
      </c>
      <c r="G22" s="2"/>
      <c r="I22" s="17"/>
    </row>
    <row r="23" spans="1:9" x14ac:dyDescent="0.2">
      <c r="A23" s="2" t="s">
        <v>66</v>
      </c>
      <c r="B23" s="15" t="s">
        <v>67</v>
      </c>
      <c r="C23" s="2">
        <v>5</v>
      </c>
      <c r="D23" s="2" t="s">
        <v>68</v>
      </c>
      <c r="E23" s="2" t="s">
        <v>9</v>
      </c>
      <c r="F23" s="2">
        <v>9</v>
      </c>
      <c r="G23" s="2"/>
      <c r="I23" s="17"/>
    </row>
    <row r="24" spans="1:9" x14ac:dyDescent="0.2">
      <c r="A24" s="2" t="s">
        <v>69</v>
      </c>
      <c r="B24" s="15" t="s">
        <v>70</v>
      </c>
      <c r="C24" s="2">
        <v>15</v>
      </c>
      <c r="D24" s="2" t="s">
        <v>71</v>
      </c>
      <c r="E24" s="2" t="s">
        <v>9</v>
      </c>
      <c r="F24" s="2">
        <v>6</v>
      </c>
      <c r="G24" s="2"/>
      <c r="I24" s="17"/>
    </row>
    <row r="25" spans="1:9" x14ac:dyDescent="0.2">
      <c r="A25" s="2" t="s">
        <v>72</v>
      </c>
      <c r="B25" s="15" t="s">
        <v>73</v>
      </c>
      <c r="C25" s="2">
        <v>7</v>
      </c>
      <c r="D25" s="2" t="s">
        <v>74</v>
      </c>
      <c r="E25" s="2" t="s">
        <v>9</v>
      </c>
      <c r="F25" s="2">
        <v>4</v>
      </c>
      <c r="G25" s="2"/>
      <c r="I25" s="17"/>
    </row>
    <row r="26" spans="1:9" x14ac:dyDescent="0.2">
      <c r="A26" s="2" t="s">
        <v>75</v>
      </c>
      <c r="B26" s="15" t="s">
        <v>76</v>
      </c>
      <c r="C26" s="2">
        <v>16</v>
      </c>
      <c r="D26" s="2" t="s">
        <v>77</v>
      </c>
      <c r="E26" s="2" t="s">
        <v>9</v>
      </c>
      <c r="F26" s="2">
        <v>7</v>
      </c>
      <c r="G26" s="2"/>
      <c r="I26" s="17"/>
    </row>
    <row r="27" spans="1:9" x14ac:dyDescent="0.2">
      <c r="A27" s="4"/>
      <c r="B27" s="16"/>
      <c r="C27" s="4"/>
      <c r="D27" s="4"/>
      <c r="E27" s="4"/>
      <c r="F27" s="4">
        <f>SUM(F2:F26)</f>
        <v>146</v>
      </c>
      <c r="G27" s="4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5E51-A006-46BC-8B15-C0222E7D47D2}">
  <sheetPr>
    <tabColor theme="0"/>
  </sheetPr>
  <dimension ref="A1:K17"/>
  <sheetViews>
    <sheetView tabSelected="1" zoomScale="85" zoomScaleNormal="85" workbookViewId="0">
      <selection activeCell="H14" sqref="H14"/>
    </sheetView>
  </sheetViews>
  <sheetFormatPr baseColWidth="10" defaultRowHeight="15" x14ac:dyDescent="0.2"/>
  <cols>
    <col min="1" max="1" width="19.33203125" bestFit="1" customWidth="1"/>
    <col min="2" max="2" width="15.5" bestFit="1" customWidth="1"/>
    <col min="3" max="3" width="9.33203125" bestFit="1" customWidth="1"/>
    <col min="4" max="4" width="7.83203125" bestFit="1" customWidth="1"/>
    <col min="5" max="5" width="21" bestFit="1" customWidth="1"/>
    <col min="6" max="6" width="124.33203125" bestFit="1" customWidth="1"/>
    <col min="7" max="7" width="19.33203125" bestFit="1" customWidth="1"/>
    <col min="8" max="8" width="164.1640625" bestFit="1" customWidth="1"/>
    <col min="9" max="9" width="15.6640625" bestFit="1" customWidth="1"/>
    <col min="10" max="10" width="17.5" bestFit="1" customWidth="1"/>
    <col min="11" max="11" width="22" customWidth="1"/>
  </cols>
  <sheetData>
    <row r="1" spans="1:11" ht="19" x14ac:dyDescent="0.25">
      <c r="A1" s="8" t="s">
        <v>98</v>
      </c>
      <c r="B1" s="8" t="s">
        <v>99</v>
      </c>
      <c r="C1" s="8" t="s">
        <v>100</v>
      </c>
      <c r="D1" s="8" t="s">
        <v>101</v>
      </c>
      <c r="E1" s="8" t="s">
        <v>112</v>
      </c>
      <c r="F1" s="8" t="s">
        <v>111</v>
      </c>
      <c r="G1" s="8" t="s">
        <v>108</v>
      </c>
      <c r="H1" s="8" t="s">
        <v>104</v>
      </c>
      <c r="I1" s="8" t="s">
        <v>102</v>
      </c>
      <c r="J1" s="8" t="s">
        <v>103</v>
      </c>
      <c r="K1" s="8" t="s">
        <v>4</v>
      </c>
    </row>
    <row r="2" spans="1:11" ht="19" x14ac:dyDescent="0.25">
      <c r="A2" s="9">
        <v>45939</v>
      </c>
      <c r="B2" s="9">
        <v>45953</v>
      </c>
      <c r="C2" s="8" t="s">
        <v>105</v>
      </c>
      <c r="D2" s="8" t="s">
        <v>6</v>
      </c>
      <c r="E2" s="8" t="s">
        <v>119</v>
      </c>
      <c r="F2" s="8" t="s">
        <v>121</v>
      </c>
      <c r="G2" s="8">
        <v>2</v>
      </c>
      <c r="H2" s="8" t="s">
        <v>128</v>
      </c>
      <c r="I2" s="10">
        <v>5</v>
      </c>
      <c r="J2" s="8">
        <v>2</v>
      </c>
      <c r="K2" s="19" t="s">
        <v>136</v>
      </c>
    </row>
    <row r="3" spans="1:11" ht="19" x14ac:dyDescent="0.25">
      <c r="A3" s="8"/>
      <c r="B3" s="8"/>
      <c r="C3" s="8" t="s">
        <v>105</v>
      </c>
      <c r="D3" s="10" t="s">
        <v>106</v>
      </c>
      <c r="E3" s="8" t="s">
        <v>129</v>
      </c>
      <c r="F3" s="10" t="s">
        <v>106</v>
      </c>
      <c r="G3" s="8">
        <v>1</v>
      </c>
      <c r="H3" s="8" t="s">
        <v>130</v>
      </c>
      <c r="I3" s="8"/>
      <c r="J3" s="8">
        <v>1</v>
      </c>
      <c r="K3" s="19" t="s">
        <v>136</v>
      </c>
    </row>
    <row r="4" spans="1:11" ht="19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19"/>
    </row>
    <row r="5" spans="1:11" ht="19" x14ac:dyDescent="0.25">
      <c r="A5" s="8"/>
      <c r="B5" s="8"/>
      <c r="C5" s="8" t="s">
        <v>105</v>
      </c>
      <c r="D5" s="8" t="s">
        <v>11</v>
      </c>
      <c r="E5" s="8" t="s">
        <v>12</v>
      </c>
      <c r="F5" s="8" t="s">
        <v>131</v>
      </c>
      <c r="G5" s="8">
        <v>5</v>
      </c>
      <c r="H5" s="8" t="s">
        <v>132</v>
      </c>
      <c r="I5" s="8">
        <v>8</v>
      </c>
      <c r="J5" s="8">
        <v>6</v>
      </c>
      <c r="K5" s="19"/>
    </row>
    <row r="6" spans="1:11" ht="19" x14ac:dyDescent="0.25">
      <c r="A6" s="8"/>
      <c r="B6" s="8"/>
      <c r="C6" s="8" t="s">
        <v>105</v>
      </c>
      <c r="D6" s="8" t="s">
        <v>13</v>
      </c>
      <c r="E6" s="8" t="s">
        <v>14</v>
      </c>
      <c r="F6" s="8" t="s">
        <v>134</v>
      </c>
      <c r="G6" s="8">
        <v>4</v>
      </c>
      <c r="H6" s="8" t="s">
        <v>135</v>
      </c>
      <c r="I6" s="8"/>
      <c r="J6" s="8"/>
      <c r="K6" s="19" t="s">
        <v>136</v>
      </c>
    </row>
    <row r="7" spans="1:11" ht="19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19"/>
    </row>
    <row r="8" spans="1:11" ht="19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19"/>
    </row>
    <row r="9" spans="1:11" ht="19" x14ac:dyDescent="0.25">
      <c r="A9" s="8"/>
      <c r="B9" s="8"/>
      <c r="C9" s="8" t="s">
        <v>138</v>
      </c>
      <c r="D9" s="8" t="s">
        <v>60</v>
      </c>
      <c r="E9" s="8" t="s">
        <v>61</v>
      </c>
      <c r="F9" s="8" t="s">
        <v>141</v>
      </c>
      <c r="G9" s="8">
        <v>10</v>
      </c>
      <c r="H9" s="8" t="s">
        <v>142</v>
      </c>
      <c r="I9" s="8">
        <v>3</v>
      </c>
      <c r="J9" s="8">
        <v>15</v>
      </c>
      <c r="K9" s="19" t="s">
        <v>136</v>
      </c>
    </row>
    <row r="10" spans="1:11" ht="19" x14ac:dyDescent="0.25">
      <c r="A10" s="8"/>
      <c r="B10" s="8"/>
      <c r="C10" s="8" t="s">
        <v>138</v>
      </c>
      <c r="D10" s="8" t="s">
        <v>60</v>
      </c>
      <c r="E10" s="8" t="s">
        <v>61</v>
      </c>
      <c r="F10" s="8" t="s">
        <v>143</v>
      </c>
      <c r="G10" s="8">
        <v>15</v>
      </c>
      <c r="H10" s="8" t="s">
        <v>144</v>
      </c>
      <c r="I10" s="8">
        <v>3</v>
      </c>
      <c r="J10" s="8"/>
      <c r="K10" s="19" t="s">
        <v>147</v>
      </c>
    </row>
    <row r="11" spans="1:11" ht="19" x14ac:dyDescent="0.25">
      <c r="A11" s="8"/>
      <c r="B11" s="8"/>
      <c r="C11" s="8" t="s">
        <v>138</v>
      </c>
      <c r="D11" s="8" t="s">
        <v>60</v>
      </c>
      <c r="E11" s="8" t="s">
        <v>61</v>
      </c>
      <c r="F11" s="8" t="s">
        <v>145</v>
      </c>
      <c r="G11" s="8">
        <v>5</v>
      </c>
      <c r="H11" s="8" t="s">
        <v>146</v>
      </c>
      <c r="I11" s="8">
        <v>2</v>
      </c>
      <c r="J11" s="8"/>
      <c r="K11" s="19" t="s">
        <v>147</v>
      </c>
    </row>
    <row r="12" spans="1:11" ht="19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19"/>
    </row>
    <row r="13" spans="1:11" ht="19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1" ht="19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</row>
    <row r="15" spans="1:11" ht="19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1" ht="19" x14ac:dyDescent="0.25">
      <c r="A16" s="13" t="s">
        <v>108</v>
      </c>
      <c r="B16" s="13" t="s">
        <v>109</v>
      </c>
      <c r="C16" s="13" t="s">
        <v>110</v>
      </c>
      <c r="D16" s="8"/>
      <c r="E16" s="13" t="s">
        <v>117</v>
      </c>
      <c r="F16" s="13" t="s">
        <v>139</v>
      </c>
      <c r="G16" s="8"/>
      <c r="H16" s="8"/>
      <c r="I16" s="8"/>
      <c r="J16" s="8"/>
    </row>
    <row r="17" spans="1:10" ht="19" x14ac:dyDescent="0.25">
      <c r="A17" s="12">
        <f>SUM(Tabelle27[Estimated time])</f>
        <v>42</v>
      </c>
      <c r="B17" s="12">
        <f>SUM(Tabelle27[Time in Hours])</f>
        <v>24</v>
      </c>
      <c r="C17" s="12">
        <f>Tabelle38[[#This Row],[Estimated time]]-Tabelle38[[#This Row],[Actual time]]</f>
        <v>18</v>
      </c>
      <c r="D17" s="8"/>
      <c r="E17" s="12">
        <f>SUM(Tabelle27[Story points])</f>
        <v>21</v>
      </c>
      <c r="F17" s="12">
        <f>Tabelle49[[#This Row],[Total Storypoints ]]/Tabelle38[[#This Row],[Actual time]]</f>
        <v>0.875</v>
      </c>
      <c r="G17" s="8"/>
      <c r="H17" s="8"/>
      <c r="I17" s="8"/>
      <c r="J17" s="8"/>
    </row>
  </sheetData>
  <pageMargins left="0.7" right="0.7" top="0.78740157499999996" bottom="0.78740157499999996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Dashboard</vt:lpstr>
      <vt:lpstr>Sprint1</vt:lpstr>
      <vt:lpstr>Storys</vt:lpstr>
      <vt:lpstr>Sprint2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Rankl Manuel</dc:creator>
  <cp:lastModifiedBy>Hoheneder Daniel</cp:lastModifiedBy>
  <dcterms:created xsi:type="dcterms:W3CDTF">2025-09-25T17:27:06Z</dcterms:created>
  <dcterms:modified xsi:type="dcterms:W3CDTF">2025-10-23T09:13:30Z</dcterms:modified>
</cp:coreProperties>
</file>